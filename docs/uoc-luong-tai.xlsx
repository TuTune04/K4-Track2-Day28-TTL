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iaDinh" sheetId="1" state="visible" r:id="rId3"/>
    <sheet name="TinhTo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<sst xmlns="http://schemas.openxmlformats.org/spreadsheetml/2006/main" count="115" uniqueCount="97">
  <si>
    <t xml:space="preserve">GIẢ ĐỊNH ĐẦU VÀO (chữ xanh = sửa được; chữ đen = công thức)</t>
  </si>
  <si>
    <t xml:space="preserve">Chỉ có 2.000 DAU, 22 ngày, 10 giờ/ngày là đề cho. Mọi số khác là giả định ban đầu của nhóm, cần bàn lại.</t>
  </si>
  <si>
    <t xml:space="preserve">DAU (người dùng hoạt động/ngày)</t>
  </si>
  <si>
    <t xml:space="preserve">Đề cho</t>
  </si>
  <si>
    <t xml:space="preserve">Request mỗi người mỗi ngày</t>
  </si>
  <si>
    <t xml:space="preserve">Giả định (file đề dùng 25 làm mặc định)</t>
  </si>
  <si>
    <t xml:space="preserve">Ngày làm việc/tháng</t>
  </si>
  <si>
    <t xml:space="preserve">Giờ hành chính/ngày</t>
  </si>
  <si>
    <t xml:space="preserve">Đề cho (8:00-18:00)</t>
  </si>
  <si>
    <t xml:space="preserve">Tỉ lệ request dồn vào giờ cao điểm nhất</t>
  </si>
  <si>
    <t xml:space="preserve">Giả định: 15% request cả ngày rơi vào 1 giờ</t>
  </si>
  <si>
    <t xml:space="preserve">Hệ số bùng nổ (burst) so với trung bình giờ cao điểm</t>
  </si>
  <si>
    <t xml:space="preserve">Giả định</t>
  </si>
  <si>
    <t xml:space="preserve">Tỉ lệ người dùng đang có phiên mở cùng lúc</t>
  </si>
  <si>
    <t xml:space="preserve">Tỉ lệ input token đọc từ prompt cache</t>
  </si>
  <si>
    <t xml:space="preserve">Giả định, đòn bẩy tiết kiệm lớn; hội đồng sẽ hỏi căn cứ</t>
  </si>
  <si>
    <t xml:space="preserve">Giá cache read so với giá input thường (nhân)</t>
  </si>
  <si>
    <t xml:space="preserve">Theo tài liệu giá Anthropic; CẦN KIỂM trên trang giá Bedrock</t>
  </si>
  <si>
    <t xml:space="preserve">BẢNG GIÁ MODEL (USD / 1 triệu token) - GIÁ THAM KHẢO, PHẢI THAY BẰNG GIÁ BEDROCK ap-southeast-1 + ẢNH CHỤP</t>
  </si>
  <si>
    <t xml:space="preserve">Lớp model</t>
  </si>
  <si>
    <t xml:space="preserve">Model gợi ý (chưa chốt)</t>
  </si>
  <si>
    <t xml:space="preserve">Input</t>
  </si>
  <si>
    <t xml:space="preserve">Output</t>
  </si>
  <si>
    <t xml:space="preserve">small</t>
  </si>
  <si>
    <t xml:space="preserve">Haiku 4.5 hoặc tương đương</t>
  </si>
  <si>
    <t xml:space="preserve">medium</t>
  </si>
  <si>
    <t xml:space="preserve">Sonnet 4.6 hoặc tương đương</t>
  </si>
  <si>
    <t xml:space="preserve">large</t>
  </si>
  <si>
    <t xml:space="preserve">Opus (chưa kiểm giá)</t>
  </si>
  <si>
    <t xml:space="preserve">5 CẤP TÁC VỤ</t>
  </si>
  <si>
    <t xml:space="preserve">Cấp tác vụ</t>
  </si>
  <si>
    <t xml:space="preserve">Tỉ lệ request</t>
  </si>
  <si>
    <t xml:space="preserve">Token vào/request</t>
  </si>
  <si>
    <t xml:space="preserve">Token ra/request</t>
  </si>
  <si>
    <t xml:space="preserve">Tỉ lệ có chạy sandbox</t>
  </si>
  <si>
    <t xml:space="preserve">Giây sandbox/lượt</t>
  </si>
  <si>
    <t xml:space="preserve">Lệnh gọi connector/request</t>
  </si>
  <si>
    <t xml:space="preserve">Ảnh sinh ra/request</t>
  </si>
  <si>
    <t xml:space="preserve">Ghi chú</t>
  </si>
  <si>
    <t xml:space="preserve">Cấp 1 Email, hỏi đáp</t>
  </si>
  <si>
    <t xml:space="preserve">Gồm context RAG</t>
  </si>
  <si>
    <t xml:space="preserve">Cấp 2 Tài liệu, slide</t>
  </si>
  <si>
    <t xml:space="preserve">Xuất DOCX/XLSX/PPTX chạy trong sandbox</t>
  </si>
  <si>
    <t xml:space="preserve">Cấp 3 Dữ liệu, code</t>
  </si>
  <si>
    <t xml:space="preserve">Phân tích bảng, chạy script</t>
  </si>
  <si>
    <t xml:space="preserve">Cấp 4 Agent dự án</t>
  </si>
  <si>
    <t xml:space="preserve">Nhiều bước; token vào là tổng các bước</t>
  </si>
  <si>
    <t xml:space="preserve">Cấp 5 Thiết kế</t>
  </si>
  <si>
    <t xml:space="preserve">Có sinh ảnh</t>
  </si>
  <si>
    <t xml:space="preserve">Tổng tỉ lệ (phải bằng 1)</t>
  </si>
  <si>
    <t xml:space="preserve">LƯU TRỮ, LOG, MẠNG</t>
  </si>
  <si>
    <t xml:space="preserve">Workspace trung bình mỗi người (GB)</t>
  </si>
  <si>
    <t xml:space="preserve">Giả định; quota là 10 GB</t>
  </si>
  <si>
    <t xml:space="preserve">Quota mỗi người (GB)</t>
  </si>
  <si>
    <t xml:space="preserve">Số tài liệu trong knowledge base</t>
  </si>
  <si>
    <t xml:space="preserve">Chunk mỗi tài liệu</t>
  </si>
  <si>
    <t xml:space="preserve">Số chiều vector</t>
  </si>
  <si>
    <t xml:space="preserve">Byte mỗi chiều (float32)</t>
  </si>
  <si>
    <t xml:space="preserve">Log mỗi request (KB)</t>
  </si>
  <si>
    <t xml:space="preserve">Giả định: prompt/response đã che PII + metadata</t>
  </si>
  <si>
    <t xml:space="preserve">Số tháng giữ audit log</t>
  </si>
  <si>
    <t xml:space="preserve">Đề cho (H5)</t>
  </si>
  <si>
    <t xml:space="preserve">KB mỗi lệnh gọi connector (egress/ingress)</t>
  </si>
  <si>
    <t xml:space="preserve">KB mỗi ảnh sinh ra</t>
  </si>
  <si>
    <t xml:space="preserve">KB lịch sử chat mỗi request</t>
  </si>
  <si>
    <t xml:space="preserve">TÍNH TOÁN TỪ GIẢ ĐỊNH (không sửa tay; sửa ở sheet GiaDinh)</t>
  </si>
  <si>
    <t xml:space="preserve">Chi phí LLM chỉ là con số kiểm tra nhanh theo giá tham khảo ở GiaDinh. Số nộp phải lấy từ báo giá có ảnh chụp.</t>
  </si>
  <si>
    <t xml:space="preserve">Request/tháng</t>
  </si>
  <si>
    <t xml:space="preserve">Token vào (triệu)</t>
  </si>
  <si>
    <t xml:space="preserve">Token ra (triệu)</t>
  </si>
  <si>
    <t xml:space="preserve">Tiền input (USD)</t>
  </si>
  <si>
    <t xml:space="preserve">Tiền output (USD)</t>
  </si>
  <si>
    <t xml:space="preserve">Lượt sandbox</t>
  </si>
  <si>
    <t xml:space="preserve">Giờ sandbox</t>
  </si>
  <si>
    <t xml:space="preserve">Lệnh gọi connector</t>
  </si>
  <si>
    <t xml:space="preserve">Ảnh sinh ra</t>
  </si>
  <si>
    <t xml:space="preserve">Tiền LLM (USD)</t>
  </si>
  <si>
    <t xml:space="preserve">TỔNG</t>
  </si>
  <si>
    <t xml:space="preserve">Tiền LLM mỗi DAU mỗi tháng (USD)</t>
  </si>
  <si>
    <t xml:space="preserve">GIỜ CAO ĐIỂM</t>
  </si>
  <si>
    <t xml:space="preserve">Request/ngày</t>
  </si>
  <si>
    <t xml:space="preserve">Request trong giờ cao điểm</t>
  </si>
  <si>
    <t xml:space="preserve">Request/giây trung bình giờ cao điểm</t>
  </si>
  <si>
    <t xml:space="preserve">Request/giây khi burst</t>
  </si>
  <si>
    <t xml:space="preserve">Phiên đồng thời</t>
  </si>
  <si>
    <t xml:space="preserve">Token vào/giây khi burst</t>
  </si>
  <si>
    <t xml:space="preserve">Token ra/giây khi burst</t>
  </si>
  <si>
    <t xml:space="preserve">Sandbox chạy đồng thời khi burst</t>
  </si>
  <si>
    <t xml:space="preserve">Workspace thực tế (TB)</t>
  </si>
  <si>
    <t xml:space="preserve">Workspace nếu mọi người đầy quota (TB)</t>
  </si>
  <si>
    <t xml:space="preserve">Số vector trong knowledge base</t>
  </si>
  <si>
    <t xml:space="preserve">Dung lượng vector (GB, chưa tính index)</t>
  </si>
  <si>
    <t xml:space="preserve">Log mới mỗi tháng (GB)</t>
  </si>
  <si>
    <t xml:space="preserve">Audit log giữ đủ kỳ hạn (GB)</t>
  </si>
  <si>
    <t xml:space="preserve">Ảnh sinh ra mỗi tháng (GB)</t>
  </si>
  <si>
    <t xml:space="preserve">Lưu lượng connector mỗi tháng (GB)</t>
  </si>
  <si>
    <t xml:space="preserve">Lịch sử chat mới mỗi năm (GB)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</si>
</sst>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BF0CF"/>
        <bgColor rgb="FFFFFFFF"/>
      </patternFill>
    </fill>
    <fill>
      <patternFill patternType="solid">
        <fgColor rgb="FFD9EDF6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0CF"/>
      <rgbColor rgb="FFD9ED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4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2" t="n">
        <v>2000</v>
      </c>
      <c r="C3" s="0" t="s">
        <v>3</v>
      </c>
    </row>
    <row r="4" customFormat="false" ht="15" hidden="false" customHeight="false" outlineLevel="0" collapsed="false">
      <c r="A4" s="0" t="s">
        <v>4</v>
      </c>
      <c r="B4" s="2" t="n">
        <v>25</v>
      </c>
      <c r="C4" s="0" t="s">
        <v>5</v>
      </c>
    </row>
    <row r="5" customFormat="false" ht="15" hidden="false" customHeight="false" outlineLevel="0" collapsed="false">
      <c r="A5" s="0" t="s">
        <v>6</v>
      </c>
      <c r="B5" s="2" t="n">
        <v>22</v>
      </c>
      <c r="C5" s="0" t="s">
        <v>3</v>
      </c>
    </row>
    <row r="6" customFormat="false" ht="15" hidden="false" customHeight="false" outlineLevel="0" collapsed="false">
      <c r="A6" s="0" t="s">
        <v>7</v>
      </c>
      <c r="B6" s="2" t="n">
        <v>10</v>
      </c>
      <c r="C6" s="0" t="s">
        <v>8</v>
      </c>
    </row>
    <row r="7" customFormat="false" ht="15" hidden="false" customHeight="false" outlineLevel="0" collapsed="false">
      <c r="A7" s="0" t="s">
        <v>9</v>
      </c>
      <c r="B7" s="2" t="n">
        <v>0.15</v>
      </c>
      <c r="C7" s="0" t="s">
        <v>10</v>
      </c>
    </row>
    <row r="8" customFormat="false" ht="15" hidden="false" customHeight="false" outlineLevel="0" collapsed="false">
      <c r="A8" s="0" t="s">
        <v>11</v>
      </c>
      <c r="B8" s="2" t="n">
        <v>2</v>
      </c>
      <c r="C8" s="0" t="s">
        <v>12</v>
      </c>
    </row>
    <row r="9" customFormat="false" ht="15" hidden="false" customHeight="false" outlineLevel="0" collapsed="false">
      <c r="A9" s="0" t="s">
        <v>13</v>
      </c>
      <c r="B9" s="2" t="n">
        <v>0.3</v>
      </c>
      <c r="C9" s="0" t="s">
        <v>12</v>
      </c>
    </row>
    <row r="10" customFormat="false" ht="15" hidden="false" customHeight="false" outlineLevel="0" collapsed="false">
      <c r="A10" s="0" t="s">
        <v>14</v>
      </c>
      <c r="B10" s="2" t="n">
        <v>0.5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2" t="n">
        <v>0.1</v>
      </c>
      <c r="C11" s="0" t="s">
        <v>17</v>
      </c>
    </row>
    <row r="13" customFormat="false" ht="15" hidden="false" customHeight="false" outlineLevel="0" collapsed="false">
      <c r="A13" s="3" t="s">
        <v>18</v>
      </c>
    </row>
    <row r="14" customFormat="false" ht="15" hidden="false" customHeight="false" outlineLevel="0" collapsed="false">
      <c r="A14" s="4" t="s">
        <v>19</v>
      </c>
      <c r="B14" s="4" t="s">
        <v>20</v>
      </c>
      <c r="C14" s="4" t="s">
        <v>21</v>
      </c>
      <c r="D14" s="4" t="s">
        <v>22</v>
      </c>
    </row>
    <row r="15" customFormat="false" ht="15" hidden="false" customHeight="false" outlineLevel="0" collapsed="false">
      <c r="A15" s="0" t="s">
        <v>23</v>
      </c>
      <c r="B15" s="0" t="s">
        <v>24</v>
      </c>
      <c r="C15" s="2" t="n">
        <v>1</v>
      </c>
      <c r="D15" s="2" t="n">
        <v>5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2" t="n">
        <v>3</v>
      </c>
      <c r="D16" s="2" t="n">
        <v>15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2" t="n">
        <v>5</v>
      </c>
      <c r="D17" s="2" t="n">
        <v>25</v>
      </c>
    </row>
    <row r="19" customFormat="false" ht="15" hidden="false" customHeight="false" outlineLevel="0" collapsed="false">
      <c r="A19" s="5" t="s">
        <v>29</v>
      </c>
    </row>
    <row r="20" customFormat="false" ht="25.35" hidden="false" customHeight="false" outlineLevel="0" collapsed="false">
      <c r="A20" s="4" t="s">
        <v>30</v>
      </c>
      <c r="B20" s="4" t="s">
        <v>31</v>
      </c>
      <c r="C20" s="4" t="s">
        <v>32</v>
      </c>
      <c r="D20" s="4" t="s">
        <v>33</v>
      </c>
      <c r="E20" s="4" t="s">
        <v>19</v>
      </c>
      <c r="F20" s="4" t="s">
        <v>34</v>
      </c>
      <c r="G20" s="4" t="s">
        <v>35</v>
      </c>
      <c r="H20" s="4" t="s">
        <v>36</v>
      </c>
      <c r="I20" s="4" t="s">
        <v>37</v>
      </c>
      <c r="J20" s="4" t="s">
        <v>38</v>
      </c>
    </row>
    <row r="21" customFormat="false" ht="15" hidden="false" customHeight="false" outlineLevel="0" collapsed="false">
      <c r="A21" s="0" t="s">
        <v>39</v>
      </c>
      <c r="B21" s="2" t="n">
        <v>0.45</v>
      </c>
      <c r="C21" s="2" t="n">
        <v>3000</v>
      </c>
      <c r="D21" s="2" t="n">
        <v>400</v>
      </c>
      <c r="E21" s="2" t="s">
        <v>23</v>
      </c>
      <c r="F21" s="2" t="n">
        <v>0</v>
      </c>
      <c r="G21" s="2" t="n">
        <v>0</v>
      </c>
      <c r="H21" s="2" t="n">
        <v>1</v>
      </c>
      <c r="I21" s="2" t="n">
        <v>0</v>
      </c>
      <c r="J21" s="0" t="s">
        <v>40</v>
      </c>
    </row>
    <row r="22" customFormat="false" ht="15" hidden="false" customHeight="false" outlineLevel="0" collapsed="false">
      <c r="A22" s="0" t="s">
        <v>41</v>
      </c>
      <c r="B22" s="2" t="n">
        <v>0.2</v>
      </c>
      <c r="C22" s="2" t="n">
        <v>6000</v>
      </c>
      <c r="D22" s="2" t="n">
        <v>2000</v>
      </c>
      <c r="E22" s="2" t="s">
        <v>25</v>
      </c>
      <c r="F22" s="2" t="n">
        <v>0.5</v>
      </c>
      <c r="G22" s="2" t="n">
        <v>20</v>
      </c>
      <c r="H22" s="2" t="n">
        <v>1</v>
      </c>
      <c r="I22" s="2" t="n">
        <v>0</v>
      </c>
      <c r="J22" s="0" t="s">
        <v>42</v>
      </c>
    </row>
    <row r="23" customFormat="false" ht="15" hidden="false" customHeight="false" outlineLevel="0" collapsed="false">
      <c r="A23" s="0" t="s">
        <v>43</v>
      </c>
      <c r="B23" s="2" t="n">
        <v>0.15</v>
      </c>
      <c r="C23" s="2" t="n">
        <v>10000</v>
      </c>
      <c r="D23" s="2" t="n">
        <v>1500</v>
      </c>
      <c r="E23" s="2" t="s">
        <v>25</v>
      </c>
      <c r="F23" s="2" t="n">
        <v>0.9</v>
      </c>
      <c r="G23" s="2" t="n">
        <v>30</v>
      </c>
      <c r="H23" s="2" t="n">
        <v>1</v>
      </c>
      <c r="I23" s="2" t="n">
        <v>0</v>
      </c>
      <c r="J23" s="0" t="s">
        <v>44</v>
      </c>
    </row>
    <row r="24" customFormat="false" ht="15" hidden="false" customHeight="false" outlineLevel="0" collapsed="false">
      <c r="A24" s="0" t="s">
        <v>45</v>
      </c>
      <c r="B24" s="2" t="n">
        <v>0.15</v>
      </c>
      <c r="C24" s="2" t="n">
        <v>40000</v>
      </c>
      <c r="D24" s="2" t="n">
        <v>4000</v>
      </c>
      <c r="E24" s="2" t="s">
        <v>25</v>
      </c>
      <c r="F24" s="2" t="n">
        <v>0.3</v>
      </c>
      <c r="G24" s="2" t="n">
        <v>60</v>
      </c>
      <c r="H24" s="2" t="n">
        <v>5</v>
      </c>
      <c r="I24" s="2" t="n">
        <v>0</v>
      </c>
      <c r="J24" s="0" t="s">
        <v>46</v>
      </c>
    </row>
    <row r="25" customFormat="false" ht="15" hidden="false" customHeight="false" outlineLevel="0" collapsed="false">
      <c r="A25" s="0" t="s">
        <v>47</v>
      </c>
      <c r="B25" s="2" t="n">
        <v>0.05</v>
      </c>
      <c r="C25" s="2" t="n">
        <v>6000</v>
      </c>
      <c r="D25" s="2" t="n">
        <v>1500</v>
      </c>
      <c r="E25" s="2" t="s">
        <v>27</v>
      </c>
      <c r="F25" s="2" t="n">
        <v>0.3</v>
      </c>
      <c r="G25" s="2" t="n">
        <v>30</v>
      </c>
      <c r="H25" s="2" t="n">
        <v>1</v>
      </c>
      <c r="I25" s="2" t="n">
        <v>2</v>
      </c>
      <c r="J25" s="0" t="s">
        <v>48</v>
      </c>
    </row>
    <row r="26" customFormat="false" ht="15" hidden="false" customHeight="false" outlineLevel="0" collapsed="false">
      <c r="A26" s="0" t="s">
        <v>49</v>
      </c>
      <c r="B26" s="0" t="n">
        <f aca="false">SUM(B21:B25)</f>
        <v>1</v>
      </c>
    </row>
    <row r="28" customFormat="false" ht="15" hidden="false" customHeight="false" outlineLevel="0" collapsed="false">
      <c r="A28" s="5" t="s">
        <v>50</v>
      </c>
    </row>
    <row r="29" customFormat="false" ht="15" hidden="false" customHeight="false" outlineLevel="0" collapsed="false">
      <c r="A29" s="0" t="s">
        <v>51</v>
      </c>
      <c r="B29" s="2" t="n">
        <v>2</v>
      </c>
      <c r="C29" s="0" t="s">
        <v>52</v>
      </c>
    </row>
    <row r="30" customFormat="false" ht="15" hidden="false" customHeight="false" outlineLevel="0" collapsed="false">
      <c r="A30" s="0" t="s">
        <v>53</v>
      </c>
      <c r="B30" s="2" t="n">
        <v>10</v>
      </c>
      <c r="C30" s="0" t="s">
        <v>3</v>
      </c>
    </row>
    <row r="31" customFormat="false" ht="15" hidden="false" customHeight="false" outlineLevel="0" collapsed="false">
      <c r="A31" s="0" t="s">
        <v>54</v>
      </c>
      <c r="B31" s="2" t="n">
        <v>500000</v>
      </c>
      <c r="C31" s="0" t="s">
        <v>12</v>
      </c>
    </row>
    <row r="32" customFormat="false" ht="15" hidden="false" customHeight="false" outlineLevel="0" collapsed="false">
      <c r="A32" s="0" t="s">
        <v>55</v>
      </c>
      <c r="B32" s="2" t="n">
        <v>8</v>
      </c>
      <c r="C32" s="0" t="s">
        <v>12</v>
      </c>
    </row>
    <row r="33" customFormat="false" ht="15" hidden="false" customHeight="false" outlineLevel="0" collapsed="false">
      <c r="A33" s="0" t="s">
        <v>56</v>
      </c>
      <c r="B33" s="2" t="n">
        <v>1024</v>
      </c>
      <c r="C33" s="0" t="s">
        <v>12</v>
      </c>
    </row>
    <row r="34" customFormat="false" ht="15" hidden="false" customHeight="false" outlineLevel="0" collapsed="false">
      <c r="A34" s="0" t="s">
        <v>57</v>
      </c>
      <c r="B34" s="2" t="n">
        <v>4</v>
      </c>
    </row>
    <row r="35" customFormat="false" ht="15" hidden="false" customHeight="false" outlineLevel="0" collapsed="false">
      <c r="A35" s="0" t="s">
        <v>58</v>
      </c>
      <c r="B35" s="2" t="n">
        <v>20</v>
      </c>
      <c r="C35" s="0" t="s">
        <v>59</v>
      </c>
    </row>
    <row r="36" customFormat="false" ht="15" hidden="false" customHeight="false" outlineLevel="0" collapsed="false">
      <c r="A36" s="0" t="s">
        <v>60</v>
      </c>
      <c r="B36" s="2" t="n">
        <v>12</v>
      </c>
      <c r="C36" s="0" t="s">
        <v>61</v>
      </c>
    </row>
    <row r="37" customFormat="false" ht="15" hidden="false" customHeight="false" outlineLevel="0" collapsed="false">
      <c r="A37" s="0" t="s">
        <v>62</v>
      </c>
      <c r="B37" s="2" t="n">
        <v>50</v>
      </c>
      <c r="C37" s="0" t="s">
        <v>12</v>
      </c>
    </row>
    <row r="38" customFormat="false" ht="15" hidden="false" customHeight="false" outlineLevel="0" collapsed="false">
      <c r="A38" s="0" t="s">
        <v>63</v>
      </c>
      <c r="B38" s="2" t="n">
        <v>500</v>
      </c>
      <c r="C38" s="0" t="s">
        <v>12</v>
      </c>
    </row>
    <row r="39" customFormat="false" ht="15" hidden="false" customHeight="false" outlineLevel="0" collapsed="false">
      <c r="A39" s="0" t="s">
        <v>64</v>
      </c>
      <c r="B39" s="2" t="n">
        <v>10</v>
      </c>
      <c r="C39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6.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0" t="s">
        <v>66</v>
      </c>
    </row>
    <row r="3" customFormat="false" ht="25.35" hidden="false" customHeight="false" outlineLevel="0" collapsed="false">
      <c r="A3" s="4" t="s">
        <v>30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</row>
    <row r="4" customFormat="false" ht="15" hidden="false" customHeight="false" outlineLevel="0" collapsed="false">
      <c r="A4" s="0" t="str">
        <f aca="false">GiaDinh!A21</f>
        <v>Cấp 1 Email, hỏi đáp</v>
      </c>
      <c r="B4" s="6" t="n">
        <f aca="false">GiaDinh!$B$3*GiaDinh!$B$4*GiaDinh!$B$5*GiaDinh!B21</f>
        <v>495000</v>
      </c>
      <c r="C4" s="6" t="n">
        <f aca="false">B4*GiaDinh!C21/1000000</f>
        <v>1485</v>
      </c>
      <c r="D4" s="6" t="n">
        <f aca="false">B4*GiaDinh!D21/1000000</f>
        <v>198</v>
      </c>
      <c r="E4" s="6" t="n">
        <f aca="false">C4*(GiaDinh!$B$10*GiaDinh!$B$11+(1-GiaDinh!$B$10))*VLOOKUP(GiaDinh!E21,GiaDinh!$A$15:$D$17,3,FALSE())</f>
        <v>816.75</v>
      </c>
      <c r="F4" s="6" t="n">
        <f aca="false">D4*VLOOKUP(GiaDinh!E21,GiaDinh!$A$15:$D$17,4,FALSE())</f>
        <v>990</v>
      </c>
      <c r="G4" s="6" t="n">
        <f aca="false">B4*GiaDinh!F21</f>
        <v>0</v>
      </c>
      <c r="H4" s="6" t="n">
        <f aca="false">G4*GiaDinh!G21/3600</f>
        <v>0</v>
      </c>
      <c r="I4" s="6" t="n">
        <f aca="false">B4*GiaDinh!H21</f>
        <v>495000</v>
      </c>
      <c r="J4" s="6" t="n">
        <f aca="false">B4*GiaDinh!I21</f>
        <v>0</v>
      </c>
      <c r="K4" s="6" t="n">
        <f aca="false">E4+F4</f>
        <v>1806.75</v>
      </c>
    </row>
    <row r="5" customFormat="false" ht="15" hidden="false" customHeight="false" outlineLevel="0" collapsed="false">
      <c r="A5" s="0" t="str">
        <f aca="false">GiaDinh!A22</f>
        <v>Cấp 2 Tài liệu, slide</v>
      </c>
      <c r="B5" s="6" t="n">
        <f aca="false">GiaDinh!$B$3*GiaDinh!$B$4*GiaDinh!$B$5*GiaDinh!B22</f>
        <v>220000</v>
      </c>
      <c r="C5" s="6" t="n">
        <f aca="false">B5*GiaDinh!C22/1000000</f>
        <v>1320</v>
      </c>
      <c r="D5" s="6" t="n">
        <f aca="false">B5*GiaDinh!D22/1000000</f>
        <v>440</v>
      </c>
      <c r="E5" s="6" t="n">
        <f aca="false">C5*(GiaDinh!$B$10*GiaDinh!$B$11+(1-GiaDinh!$B$10))*VLOOKUP(GiaDinh!E22,GiaDinh!$A$15:$D$17,3,FALSE())</f>
        <v>2178</v>
      </c>
      <c r="F5" s="6" t="n">
        <f aca="false">D5*VLOOKUP(GiaDinh!E22,GiaDinh!$A$15:$D$17,4,FALSE())</f>
        <v>6600</v>
      </c>
      <c r="G5" s="6" t="n">
        <f aca="false">B5*GiaDinh!F22</f>
        <v>110000</v>
      </c>
      <c r="H5" s="6" t="n">
        <f aca="false">G5*GiaDinh!G22/3600</f>
        <v>611.111111111111</v>
      </c>
      <c r="I5" s="6" t="n">
        <f aca="false">B5*GiaDinh!H22</f>
        <v>220000</v>
      </c>
      <c r="J5" s="6" t="n">
        <f aca="false">B5*GiaDinh!I22</f>
        <v>0</v>
      </c>
      <c r="K5" s="6" t="n">
        <f aca="false">E5+F5</f>
        <v>8778</v>
      </c>
    </row>
    <row r="6" customFormat="false" ht="15" hidden="false" customHeight="false" outlineLevel="0" collapsed="false">
      <c r="A6" s="0" t="str">
        <f aca="false">GiaDinh!A23</f>
        <v>Cấp 3 Dữ liệu, code</v>
      </c>
      <c r="B6" s="6" t="n">
        <f aca="false">GiaDinh!$B$3*GiaDinh!$B$4*GiaDinh!$B$5*GiaDinh!B23</f>
        <v>165000</v>
      </c>
      <c r="C6" s="6" t="n">
        <f aca="false">B6*GiaDinh!C23/1000000</f>
        <v>1650</v>
      </c>
      <c r="D6" s="6" t="n">
        <f aca="false">B6*GiaDinh!D23/1000000</f>
        <v>247.5</v>
      </c>
      <c r="E6" s="6" t="n">
        <f aca="false">C6*(GiaDinh!$B$10*GiaDinh!$B$11+(1-GiaDinh!$B$10))*VLOOKUP(GiaDinh!E23,GiaDinh!$A$15:$D$17,3,FALSE())</f>
        <v>2722.5</v>
      </c>
      <c r="F6" s="6" t="n">
        <f aca="false">D6*VLOOKUP(GiaDinh!E23,GiaDinh!$A$15:$D$17,4,FALSE())</f>
        <v>3712.5</v>
      </c>
      <c r="G6" s="6" t="n">
        <f aca="false">B6*GiaDinh!F23</f>
        <v>148500</v>
      </c>
      <c r="H6" s="6" t="n">
        <f aca="false">G6*GiaDinh!G23/3600</f>
        <v>1237.5</v>
      </c>
      <c r="I6" s="6" t="n">
        <f aca="false">B6*GiaDinh!H23</f>
        <v>165000</v>
      </c>
      <c r="J6" s="6" t="n">
        <f aca="false">B6*GiaDinh!I23</f>
        <v>0</v>
      </c>
      <c r="K6" s="6" t="n">
        <f aca="false">E6+F6</f>
        <v>6435</v>
      </c>
    </row>
    <row r="7" customFormat="false" ht="15" hidden="false" customHeight="false" outlineLevel="0" collapsed="false">
      <c r="A7" s="0" t="str">
        <f aca="false">GiaDinh!A24</f>
        <v>Cấp 4 Agent dự án</v>
      </c>
      <c r="B7" s="6" t="n">
        <f aca="false">GiaDinh!$B$3*GiaDinh!$B$4*GiaDinh!$B$5*GiaDinh!B24</f>
        <v>165000</v>
      </c>
      <c r="C7" s="6" t="n">
        <f aca="false">B7*GiaDinh!C24/1000000</f>
        <v>6600</v>
      </c>
      <c r="D7" s="6" t="n">
        <f aca="false">B7*GiaDinh!D24/1000000</f>
        <v>660</v>
      </c>
      <c r="E7" s="6" t="n">
        <f aca="false">C7*(GiaDinh!$B$10*GiaDinh!$B$11+(1-GiaDinh!$B$10))*VLOOKUP(GiaDinh!E24,GiaDinh!$A$15:$D$17,3,FALSE())</f>
        <v>10890</v>
      </c>
      <c r="F7" s="6" t="n">
        <f aca="false">D7*VLOOKUP(GiaDinh!E24,GiaDinh!$A$15:$D$17,4,FALSE())</f>
        <v>9900</v>
      </c>
      <c r="G7" s="6" t="n">
        <f aca="false">B7*GiaDinh!F24</f>
        <v>49500</v>
      </c>
      <c r="H7" s="6" t="n">
        <f aca="false">G7*GiaDinh!G24/3600</f>
        <v>825</v>
      </c>
      <c r="I7" s="6" t="n">
        <f aca="false">B7*GiaDinh!H24</f>
        <v>825000</v>
      </c>
      <c r="J7" s="6" t="n">
        <f aca="false">B7*GiaDinh!I24</f>
        <v>0</v>
      </c>
      <c r="K7" s="6" t="n">
        <f aca="false">E7+F7</f>
        <v>20790</v>
      </c>
    </row>
    <row r="8" customFormat="false" ht="15" hidden="false" customHeight="false" outlineLevel="0" collapsed="false">
      <c r="A8" s="0" t="str">
        <f aca="false">GiaDinh!A25</f>
        <v>Cấp 5 Thiết kế</v>
      </c>
      <c r="B8" s="6" t="n">
        <f aca="false">GiaDinh!$B$3*GiaDinh!$B$4*GiaDinh!$B$5*GiaDinh!B25</f>
        <v>55000</v>
      </c>
      <c r="C8" s="6" t="n">
        <f aca="false">B8*GiaDinh!C25/1000000</f>
        <v>330</v>
      </c>
      <c r="D8" s="6" t="n">
        <f aca="false">B8*GiaDinh!D25/1000000</f>
        <v>82.5</v>
      </c>
      <c r="E8" s="6" t="n">
        <f aca="false">C8*(GiaDinh!$B$10*GiaDinh!$B$11+(1-GiaDinh!$B$10))*VLOOKUP(GiaDinh!E25,GiaDinh!$A$15:$D$17,3,FALSE())</f>
        <v>907.5</v>
      </c>
      <c r="F8" s="6" t="n">
        <f aca="false">D8*VLOOKUP(GiaDinh!E25,GiaDinh!$A$15:$D$17,4,FALSE())</f>
        <v>2062.5</v>
      </c>
      <c r="G8" s="6" t="n">
        <f aca="false">B8*GiaDinh!F25</f>
        <v>16500</v>
      </c>
      <c r="H8" s="6" t="n">
        <f aca="false">G8*GiaDinh!G25/3600</f>
        <v>137.5</v>
      </c>
      <c r="I8" s="6" t="n">
        <f aca="false">B8*GiaDinh!H25</f>
        <v>55000</v>
      </c>
      <c r="J8" s="6" t="n">
        <f aca="false">B8*GiaDinh!I25</f>
        <v>110000</v>
      </c>
      <c r="K8" s="6" t="n">
        <f aca="false">E8+F8</f>
        <v>2970</v>
      </c>
    </row>
    <row r="9" customFormat="false" ht="15" hidden="false" customHeight="false" outlineLevel="0" collapsed="false">
      <c r="A9" s="5" t="s">
        <v>77</v>
      </c>
      <c r="B9" s="7" t="n">
        <f aca="false">SUM(B4:B8)</f>
        <v>1100000</v>
      </c>
      <c r="C9" s="7" t="n">
        <f aca="false">SUM(C4:C8)</f>
        <v>11385</v>
      </c>
      <c r="D9" s="7" t="n">
        <f aca="false">SUM(D4:D8)</f>
        <v>1628</v>
      </c>
      <c r="E9" s="7" t="n">
        <f aca="false">SUM(E4:E8)</f>
        <v>17514.75</v>
      </c>
      <c r="F9" s="7" t="n">
        <f aca="false">SUM(F4:F8)</f>
        <v>23265</v>
      </c>
      <c r="G9" s="7" t="n">
        <f aca="false">SUM(G4:G8)</f>
        <v>324500</v>
      </c>
      <c r="H9" s="7" t="n">
        <f aca="false">SUM(H4:H8)</f>
        <v>2811.11111111111</v>
      </c>
      <c r="I9" s="7" t="n">
        <f aca="false">SUM(I4:I8)</f>
        <v>1760000</v>
      </c>
      <c r="J9" s="7" t="n">
        <f aca="false">SUM(J4:J8)</f>
        <v>110000</v>
      </c>
      <c r="K9" s="7" t="n">
        <f aca="false">SUM(K4:K8)</f>
        <v>40779.75</v>
      </c>
    </row>
    <row r="10" customFormat="false" ht="15" hidden="false" customHeight="false" outlineLevel="0" collapsed="false">
      <c r="A10" s="0" t="s">
        <v>78</v>
      </c>
      <c r="B10" s="8" t="n">
        <f aca="false">K9/GiaDinh!B3</f>
        <v>20.389875</v>
      </c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5" hidden="false" customHeight="false" outlineLevel="0" collapsed="false">
      <c r="A12" s="5" t="s">
        <v>79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15" hidden="false" customHeight="false" outlineLevel="0" collapsed="false">
      <c r="A13" s="0" t="s">
        <v>80</v>
      </c>
      <c r="B13" s="6" t="n">
        <f aca="false">GiaDinh!B3*GiaDinh!B4</f>
        <v>50000</v>
      </c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5" hidden="false" customHeight="false" outlineLevel="0" collapsed="false">
      <c r="A14" s="0" t="s">
        <v>67</v>
      </c>
      <c r="B14" s="6" t="n">
        <f aca="false">B13*GiaDinh!B5</f>
        <v>1100000</v>
      </c>
      <c r="C14" s="6"/>
      <c r="D14" s="6"/>
      <c r="E14" s="6"/>
      <c r="F14" s="6"/>
      <c r="G14" s="6"/>
      <c r="H14" s="6"/>
      <c r="I14" s="6"/>
      <c r="J14" s="6"/>
      <c r="K14" s="6"/>
    </row>
    <row r="15" customFormat="false" ht="15" hidden="false" customHeight="false" outlineLevel="0" collapsed="false">
      <c r="A15" s="0" t="s">
        <v>81</v>
      </c>
      <c r="B15" s="6" t="n">
        <f aca="false">B13*GiaDinh!B7</f>
        <v>7500</v>
      </c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A16" s="0" t="s">
        <v>82</v>
      </c>
      <c r="B16" s="8" t="n">
        <f aca="false">B15/3600</f>
        <v>2.08333333333333</v>
      </c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5" hidden="false" customHeight="false" outlineLevel="0" collapsed="false">
      <c r="A17" s="0" t="s">
        <v>83</v>
      </c>
      <c r="B17" s="8" t="n">
        <f aca="false">B16*GiaDinh!B8</f>
        <v>4.16666666666667</v>
      </c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0" t="s">
        <v>84</v>
      </c>
      <c r="B18" s="6" t="n">
        <f aca="false">GiaDinh!B3*GiaDinh!B9</f>
        <v>600</v>
      </c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5" hidden="false" customHeight="false" outlineLevel="0" collapsed="false">
      <c r="A19" s="0" t="s">
        <v>85</v>
      </c>
      <c r="B19" s="8" t="n">
        <f aca="false">C9*1000000/GiaDinh!B5*GiaDinh!B7/3600*GiaDinh!B8</f>
        <v>43125</v>
      </c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0" t="s">
        <v>86</v>
      </c>
      <c r="B20" s="8" t="n">
        <f aca="false">D9*1000000/GiaDinh!B5*GiaDinh!B7/3600*GiaDinh!B8</f>
        <v>6166.66666666667</v>
      </c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A21" s="0" t="s">
        <v>87</v>
      </c>
      <c r="B21" s="8" t="n">
        <f aca="false">H9/GiaDinh!B5*GiaDinh!B7*GiaDinh!B8</f>
        <v>38.3333333333333</v>
      </c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false" outlineLevel="0" collapsed="false">
      <c r="A23" s="5" t="s">
        <v>50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5" hidden="false" customHeight="false" outlineLevel="0" collapsed="false">
      <c r="A24" s="0" t="s">
        <v>88</v>
      </c>
      <c r="B24" s="6" t="n">
        <f aca="false">GiaDinh!B3*GiaDinh!B29/1024</f>
        <v>3.90625</v>
      </c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" hidden="false" customHeight="false" outlineLevel="0" collapsed="false">
      <c r="A25" s="0" t="s">
        <v>89</v>
      </c>
      <c r="B25" s="6" t="n">
        <f aca="false">GiaDinh!B3*GiaDinh!B30/1024</f>
        <v>19.53125</v>
      </c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5" hidden="false" customHeight="false" outlineLevel="0" collapsed="false">
      <c r="A26" s="0" t="s">
        <v>90</v>
      </c>
      <c r="B26" s="6" t="n">
        <f aca="false">GiaDinh!B31*GiaDinh!B32</f>
        <v>4000000</v>
      </c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5" hidden="false" customHeight="false" outlineLevel="0" collapsed="false">
      <c r="A27" s="0" t="s">
        <v>91</v>
      </c>
      <c r="B27" s="6" t="n">
        <f aca="false">B26*GiaDinh!B33*GiaDinh!B34/1000000000</f>
        <v>16.384</v>
      </c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false" outlineLevel="0" collapsed="false">
      <c r="A28" s="0" t="s">
        <v>92</v>
      </c>
      <c r="B28" s="6" t="n">
        <f aca="false">B14*GiaDinh!B35/1000000</f>
        <v>22</v>
      </c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false" outlineLevel="0" collapsed="false">
      <c r="A29" s="0" t="s">
        <v>93</v>
      </c>
      <c r="B29" s="6" t="n">
        <f aca="false">B28*GiaDinh!B36</f>
        <v>264</v>
      </c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5" hidden="false" customHeight="false" outlineLevel="0" collapsed="false">
      <c r="A30" s="0" t="s">
        <v>94</v>
      </c>
      <c r="B30" s="6" t="n">
        <f aca="false">J9*GiaDinh!B38/1000000</f>
        <v>55</v>
      </c>
      <c r="C30" s="6"/>
      <c r="D30" s="6"/>
      <c r="E30" s="6"/>
      <c r="F30" s="6"/>
      <c r="G30" s="6"/>
      <c r="H30" s="6"/>
      <c r="I30" s="6"/>
      <c r="J30" s="6"/>
      <c r="K30" s="6"/>
    </row>
    <row r="31" customFormat="false" ht="15" hidden="false" customHeight="false" outlineLevel="0" collapsed="false">
      <c r="A31" s="0" t="s">
        <v>95</v>
      </c>
      <c r="B31" s="6" t="n">
        <f aca="false">I9*GiaDinh!B37/1000000</f>
        <v>88</v>
      </c>
      <c r="C31" s="6"/>
      <c r="D31" s="6"/>
      <c r="E31" s="6"/>
      <c r="F31" s="6"/>
      <c r="G31" s="6"/>
      <c r="H31" s="6"/>
      <c r="I31" s="6"/>
      <c r="J31" s="6"/>
      <c r="K31" s="6"/>
    </row>
    <row r="32" customFormat="false" ht="15" hidden="false" customHeight="false" outlineLevel="0" collapsed="false">
      <c r="A32" s="0" t="s">
        <v>96</v>
      </c>
      <c r="B32" s="6" t="n">
        <f aca="false">B14*GiaDinh!B39/1000000*12</f>
        <v>132</v>
      </c>
      <c r="C32" s="6"/>
      <c r="D32" s="6"/>
      <c r="E32" s="6"/>
      <c r="F32" s="6"/>
      <c r="G32" s="6"/>
      <c r="H32" s="6"/>
      <c r="I32" s="6"/>
      <c r="J32" s="6"/>
      <c r="K3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2026-10-16T02:57:11Z</dcterms:created>
  <dc:creator>openpyxl</dc:creator>
  <dc:description/>
  <dc:language>en-US</dc:language>
  <cp:lastModifiedBy/>
  <dcterms:modified xsi:type="dcterms:W3CDTF">2026-10-16T02:57:11Z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