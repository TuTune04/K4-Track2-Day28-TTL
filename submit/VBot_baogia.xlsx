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oGia" sheetId="1" state="visible" r:id="rId3"/>
    <sheet name="BangChu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<sst xmlns="http://schemas.openxmlformats.org/spreadsheetml/2006/main" count="580" uniqueCount="355">
  <si>
    <t xml:space="preserve">Component</t>
  </si>
  <si>
    <t xml:space="preserve">Ý nghĩa</t>
  </si>
  <si>
    <t xml:space="preserve">Ghi chú</t>
  </si>
  <si>
    <t xml:space="preserve">Chi phí/tháng (USD)</t>
  </si>
  <si>
    <t xml:space="preserve">Bằng chứng</t>
  </si>
  <si>
    <t xml:space="preserve">llm</t>
  </si>
  <si>
    <t xml:space="preserve">Claude Haiku 5.5 trên Bedrock: token vào (cấp 1, cấp 2, 70% cấp 3, 70% cấp 4; gồm lượt thêm do giảm token ra)</t>
  </si>
  <si>
    <t xml:space="preserve">ap-southeast-1, hồ sơ global; 8.926,5 triệu token vào/tháng, cache theo từng cấp (docs/phan-A-model-tai.md mục 2.2b); đơn giá hiệu dụng/triệu = (1-r-w)×0,10 + r×0,01 + w×0,125. Cấp 1: 1.514,7 triệu (1.485 × 1,02 lượt thêm) × 0,06755 = 102,32; cấp 2: 1.359,6 × 0,0686 = 93,27; cấp 3: 1.201,2 × 0,0648 = 77,84; cấp 4: 4.851 × 0,03875 = 187,98. Tổng 461.41</t>
  </si>
  <si>
    <t xml:space="preserve">E20; E26; E27; https://aws.amazon.com/bedrock/pricing/; https://pricing.us-east-1.amazonaws.com/offers/v1.0/aws/AmazonBedrockFoundationModels/current/index.json; https://docs.aws.amazon.com/bedrock/latest/userguide/models-region-compatibility.html; https://docs.aws.amazon.com/bedrock/latest/userguide/prompt-caching.html</t>
  </si>
  <si>
    <t xml:space="preserve">Claude Haiku 5.5 trên Bedrock: token ra</t>
  </si>
  <si>
    <t xml:space="preserve">ap-southeast-1, hồ sơ global; token ra giảm theo cấp (mục 2.5): cấp 1 504.900 request × 350 = 176,715 triệu; cấp 2 226.600 × 1.550 = 351,23; cấp 3 120.120 × 1.050 = 126,126; cấp 4 121.275 × 3.050 = 369,889; tổng 1.023,96 triệu × 0,50 USD/triệu = 88,36+175,62+63,06+184,94 = 511.98. Đã gồm 2–5% lượt hỏi lại</t>
  </si>
  <si>
    <t xml:space="preserve">E20; E26; https://aws.amazon.com/bedrock/pricing/; https://pricing.us-east-1.amazonaws.com/offers/v1.0/aws/AmazonBedrockFoundationModels/current/index.json; https://docs.aws.amazon.com/bedrock/latest/userguide/models-region-compatibility.html</t>
  </si>
  <si>
    <t xml:space="preserve">Claude Sonnet 5.5 trên Bedrock: token vào (cấp 3 và 4: 37% request gồm 7% leo thang; cấp 5)</t>
  </si>
  <si>
    <t xml:space="preserve">ap-southeast-1, hồ sơ global; 3.538,92 triệu token vào/tháng, cache theo từng cấp; đơn giá hiệu dụng/triệu = (1-r-w)×2,00 + r×0,10 + w×2,50. Cấp 3: 634,92 triệu (610,5 × 1,04) × 1,248 = 792,38; cấp 4: 2.564,1 (2.442 × 1,05) × 0,70 = 1.794,87; cấp 5: 339,9 (330 × 1,03) × 1,181 = 401,42. Tổng 2988.67. Leo thang 10% lượt Haiku cấp 3-4 chạy lại đủ token, giả định chưa đo</t>
  </si>
  <si>
    <t xml:space="preserve">E21; E26; E27; https://aws.amazon.com/bedrock/pricing/; https://pricing.us-east-1.amazonaws.com/offers/v1.0/aws/AmazonBedrockFoundationModels/current/index.json; https://docs.aws.amazon.com/bedrock/latest/userguide/models-region-compatibility.html; https://docs.aws.amazon.com/bedrock/latest/userguide/prompt-caching.html</t>
  </si>
  <si>
    <t xml:space="preserve">Claude Sonnet 5.5 trên Bedrock: token ra</t>
  </si>
  <si>
    <t xml:space="preserve">ap-southeast-1, hồ sơ global; cấp 3 63.492 request × 1.050 = 66,667 triệu; cấp 4 64.102,5 × 3.050 = 195,513; cấp 5 56.650 × 1.220 = 69,113; tổng 331,293 triệu × 10,00 USD/triệu = 666,67+1.955,13+691,13 = 3312.93. Đã gồm 3–5% lượt hỏi lại</t>
  </si>
  <si>
    <t xml:space="preserve">E21; E26; https://aws.amazon.com/bedrock/pricing/; https://pricing.us-east-1.amazonaws.com/offers/v1.0/aws/AmazonBedrockFoundationModels/current/index.json; https://docs.aws.amazon.com/bedrock/latest/userguide/models-region-compatibility.html</t>
  </si>
  <si>
    <t xml:space="preserve">Sinh ảnh cấp 5: Stability Stable Image Core 1.0</t>
  </si>
  <si>
    <t xml:space="preserve">us-west-2 (Singapore không có dịch vụ sinh ảnh; Titan Image không còn trong bảng model theo vùng, Nova Canvas đã hết hạn 2026-09-30); 55.000 request cấp 5 × 1,03 (lượt hỏi lại) × 2 ảnh = 113.300 ảnh × 0,04 USD = 4532.00. Chỉ gửi mô tả văn bản ra us-west-2</t>
  </si>
  <si>
    <t xml:space="preserve">E24; E26; https://aws.amazon.com/bedrock/pricing/; https://pricing.us-east-1.amazonaws.com/offers/v1.0/aws/AmazonBedrockFoundationModels/current/index.json; https://docs.aws.amazon.com/bedrock/latest/userguide/models-region-compatibility.html</t>
  </si>
  <si>
    <t xml:space="preserve">embedding</t>
  </si>
  <si>
    <t xml:space="preserve">Cohere Embed Multilingual: nhúng truy vấn và tài liệu mới hàng tháng</t>
  </si>
  <si>
    <t xml:space="preserve">ap-southeast-1 (in-region); 100 triệu token/tháng (tài liệu thêm hoặc đổi ~5% của 4 triệu đoạn + truy vấn) × 0,10 USD/triệu = 10.00</t>
  </si>
  <si>
    <t xml:space="preserve">E23; E26; https://aws.amazon.com/bedrock/pricing/; https://docs.aws.amazon.com/bedrock/latest/userguide/models-region-compatibility.html</t>
  </si>
  <si>
    <t xml:space="preserve">Cohere Embed Multilingual: lập chỉ mục ban đầu, chia đều 12 tháng</t>
  </si>
  <si>
    <t xml:space="preserve">ap-southeast-1; 500.000 tài liệu × 8 đoạn × 400 token = 1.600 triệu token × 0,10 USD = 160 một lần, chia 12 tháng = 13.33. Titan Text Embeddings V2 rẻ hơn nhưng không có ở Singapore theo trang tài liệu nên không dùng</t>
  </si>
  <si>
    <t xml:space="preserve">gateway</t>
  </si>
  <si>
    <t xml:space="preserve">LiteLLM Proxy (mã nguồn mở) trên Fargate ARM: vCPU</t>
  </si>
  <si>
    <t xml:space="preserve">ap-southeast-1; 2 task (2 AZ). Giờ hành chính 220 giờ: 2 task × 2 vCPU × 220 × 0,04045 USD = 35,60; ngoài giờ 510 giờ: 2 task × 1 vCPU × 510 × 0,04045 = 41,26; tổng 76.86. Gateway gánh ~8,7 lời gọi LLM/giây lúc burst. Postgres và Redis của LiteLLM nằm trong database và cache_queue. Dòng này thay cho dòng LiteLLM trong compute (Tú bỏ để khỏi tính trùng)</t>
  </si>
  <si>
    <t xml:space="preserve">E25; E35; https://aws.amazon.com/fargate/pricing/; https://pricing.us-east-1.amazonaws.com/offers/v1.0/aws/AmazonECS/current/ap-southeast-1/index.json; https://docs.litellm.ai/docs/proxy/virtual_keys</t>
  </si>
  <si>
    <t xml:space="preserve">LiteLLM Proxy trên Fargate ARM: bộ nhớ</t>
  </si>
  <si>
    <t xml:space="preserve">ap-southeast-1; giờ hành chính 220 giờ: 2 task × 4 GB × 220 × 0,00442 USD = 7,78; ngoài giờ 510 giờ: 2 task × 2 GB × 510 × 0,00442 = 9,02; tổng 16.80</t>
  </si>
  <si>
    <t xml:space="preserve">E25; https://aws.amazon.com/fargate/pricing/</t>
  </si>
  <si>
    <t xml:space="preserve">database</t>
  </si>
  <si>
    <t xml:space="preserve">RDS PostgreSQL Multi-AZ prod (database + pgvector, RLS)</t>
  </si>
  <si>
    <t xml:space="preserve">RDS for PostgreSQL, ap-southeast-1, db.r6g.xlarge Multi-AZ (4 vCPU, 32 GiB, standby AZ khác): 1,079 USD/giờ x 730 giờ = 787,67. Chứa ~4 triệu vector 1024 chiều (~16 GB) cộng dữ liệu app. Giá Price List API công bố 2026-10-15, tra 2026-10-16. Ngày tra 2026-10-16.</t>
  </si>
  <si>
    <t xml:space="preserve">E40; E41; E42; https://aws.amazon.com/rds/postgresql/pricing/; https://docs.aws.amazon.com/AmazonRDS/latest/UserGuide/Concepts.DBInstanceClass.Support.html; https://docs.aws.amazon.com/AmazonRDS/latest/PostgreSQLReleaseNotes/postgresql-extensions.html</t>
  </si>
  <si>
    <t xml:space="preserve">Lưu trữ gp3 Multi-AZ cho RDS prod</t>
  </si>
  <si>
    <t xml:space="preserve">RDS gp3 Multi-AZ PostgreSQL, ap-southeast-1: 300 GB x 0,276 USD/GB-tháng = 82,80. Gồm vector+index ~30 GB, chat history ~132 GB/năm, metadata; IOPS/throughput nền gp3 của dung lượng này, không mua thêm. Ngày tra 2026-10-16.</t>
  </si>
  <si>
    <t xml:space="preserve">E40; https://aws.amazon.com/rds/postgresql/pricing/</t>
  </si>
  <si>
    <t xml:space="preserve">RDS PostgreSQL staging (1 môi trường staging)</t>
  </si>
  <si>
    <t xml:space="preserve">RDS PostgreSQL ap-southeast-1, db.t4g.medium Single-AZ staging: 0,102 USD/giờ x 730 = 74,46 cộng gp3 50 GB x 0,138 = 6,90. Staging không cần HA. Ngày tra 2026-10-16.</t>
  </si>
  <si>
    <t xml:space="preserve">vector_db</t>
  </si>
  <si>
    <t xml:space="preserve">Vector search nằm trong RDS pgvector</t>
  </si>
  <si>
    <t xml:space="preserve">0 USD: nằm trong dòng database (RDS PostgreSQL Multi-AZ + pgvector, HNSW trên halfvec(1024), RLS theo user_id và ACL). Không mua dịch vụ vector riêng. Ngày tra 2026-10-16.</t>
  </si>
  <si>
    <t xml:space="preserve">E40; E42; https://aws.amazon.com/rds/postgresql/pricing/; https://docs.aws.amazon.com/AmazonRDS/latest/PostgreSQLReleaseNotes/postgresql-extensions.html</t>
  </si>
  <si>
    <t xml:space="preserve">object_storage</t>
  </si>
  <si>
    <t xml:space="preserve">S3 Standard workspace riêng từng user</t>
  </si>
  <si>
    <t xml:space="preserve">S3 Standard ap-southeast-1: 2.000 user x 2 GB trung bình = 4.000 GB x 0,025 USD/GB-tháng = 100,00. Một bucket, prefix users/{user_id}/, quota 10 GB/user áp ở tầng ứng dụng. Chưa tính SSE-KMS (xem secrets_kms). Ngày tra 2026-10-16.</t>
  </si>
  <si>
    <t xml:space="preserve">E43; https://aws.amazon.com/s3/pricing/</t>
  </si>
  <si>
    <t xml:space="preserve">S3 request PUT/GET và staging</t>
  </si>
  <si>
    <t xml:space="preserve">S3 ap-southeast-1: 4 triệu PUT/LIST x 0,005 USD/1000 = 20,00 cộng 20 triệu GET x 0,0004 USD/1000 = 8,00; bucket staging ~50 GB x 0,025 = 1,25 (đã gồm trong 29,25 làm tròn). Ngày tra 2026-10-16.</t>
  </si>
  <si>
    <t xml:space="preserve">cache_queue</t>
  </si>
  <si>
    <t xml:space="preserve">ElastiCache Valkey 2 node (primary + replica) prod</t>
  </si>
  <si>
    <t xml:space="preserve">ElastiCache ap-southeast-1, Valkey cache.t4g.small (1,37 GiB), 2 node ở 2 AZ có failover tự động: 2 x 0,0384 USD/giờ x 730 = 56,06. Cache phiên và hạn mức, ~600 phiên đồng thời x ~100 KB. Giá 0,0384 chỉ thấy trong Price List JSON, trang giá chưa thấy: CHƯA CÓ BẰNG CHỨNG trên trang. Ngày tra 2026-10-16.</t>
  </si>
  <si>
    <t xml:space="preserve">E44; https://aws.amazon.com/elasticache/pricing/</t>
  </si>
  <si>
    <t xml:space="preserve">ElastiCache staging 1 node</t>
  </si>
  <si>
    <t xml:space="preserve">ElastiCache ap-southeast-1 Valkey cache.t4g.small staging 1 node: 0,0384 USD/giờ x 730 = 28,03. Giá chỉ thấy trong Price List JSON: CHƯA CÓ BẰNG CHỨNG trên trang. Ngày tra 2026-10-16.</t>
  </si>
  <si>
    <t xml:space="preserve">SQS hàng đợi agent và sandbox</t>
  </si>
  <si>
    <t xml:space="preserve">SQS Standard ap-southeast-1: ~10 triệu request/tháng x 0,40 USD/triệu = 4,00 (lượt sandbox ~324.500, agent nền ~49.500, sự kiện đồng bộ connector, mỗi message nhiều request gửi/nhận/xóa). Ngày tra 2026-10-16.</t>
  </si>
  <si>
    <t xml:space="preserve">E45; https://aws.amazon.com/sqs/pricing/</t>
  </si>
  <si>
    <t xml:space="preserve">sandbox</t>
  </si>
  <si>
    <t xml:space="preserve">AWS Lambda (Firecracker) sandbox chạy code agent</t>
  </si>
  <si>
    <t xml:space="preserve">Lambda ARM ap-southeast-1, 3 GB RAM, 324.500 lượt x 40 giây tính phí (31 giây chạy + nạp workspace) = 38,94 triệu GB-giây x 0,0000133334 = 519,20; request 324.500 x 0,0000002 = 0,06; tenant isolation 324.500 x 3 GB x 0,000133333 = 129,80 (cận trên: mọi lượt tạo môi trường mới); ephemeral 2 GB = 0,72. Giá ARM Singapore (duration, tenant isolation) chỉ thấy trong Price List JSON, trang giá chỉ có ví dụ x86: CHƯA CÓ BẰNG CHỨNG trên trang. Tài liệu xác nhận tenant isolation có ở Singapore. Ngày tra 2026-10-16.</t>
  </si>
  <si>
    <t xml:space="preserve">E46; E47; E48; https://aws.amazon.com/lambda/pricing/; https://docs.aws.amazon.com/lambda/latest/dg/tenant-isolation.html; https://docs.aws.amazon.com/lambda/latest/dg/gettingstarted-limits.html</t>
  </si>
  <si>
    <t xml:space="preserve">Fargate dự phòng cho lượt chạy hơn 15 phút</t>
  </si>
  <si>
    <t xml:space="preserve">ECS Fargate ARM ap-southeast-1, 2 vCPU 4 GB: (2 x 0,04045 + 4 x 0,00442) = 0,09858 USD/giờ x 200 giờ = 19,72. Giả định ~200 giờ/tháng cho tác vụ vượt giới hạn Lambda 15 phút. Ngày tra 2026-10-16.</t>
  </si>
  <si>
    <t xml:space="preserve">E49; E50; https://aws.amazon.com/fargate/pricing/; https://docs.aws.amazon.com/AmazonECS/latest/developerguide/AWS_Fargate.html</t>
  </si>
  <si>
    <t xml:space="preserve">Sandbox staging (Lambda)</t>
  </si>
  <si>
    <t xml:space="preserve">Lambda ARM ap-southeast-1 staging: 10.000 lượt x 40 giây x 3 GB = 1,2 triệu GB-giây x 0,0000133334 = 16,00 cộng tenant isolation 10.000 x 3 x 0,000133333 = 4,00. Giá ARM Singapore CHƯA CÓ BẰNG CHỨNG trên trang. Ngày tra 2026-10-16.</t>
  </si>
  <si>
    <t xml:space="preserve">E46; E47; https://aws.amazon.com/lambda/pricing/; https://docs.aws.amazon.com/lambda/latest/dg/tenant-isolation.html</t>
  </si>
  <si>
    <t xml:space="preserve">connectors</t>
  </si>
  <si>
    <t xml:space="preserve">Worker đồng bộ connector và webhook (Fargate)</t>
  </si>
  <si>
    <t xml:space="preserve">ECS Fargate ARM ap-southeast-1, 2 task 0,5 vCPU 1 GB ở 2 AZ: 2 x (0,5 x 0,04045 + 1 x 0,00442) = 0,04929 USD/giờ x 730 = 35,98. Delta sync Google/M365, webhook Notion/Jira/Confluence; gọi API SaaS không tính phí riêng, NAT thuộc network. Ngày tra 2026-10-16.</t>
  </si>
  <si>
    <t xml:space="preserve">E49; https://aws.amazon.com/fargate/pricing/</t>
  </si>
  <si>
    <t xml:space="preserve">Worker đồng bộ connector staging</t>
  </si>
  <si>
    <t xml:space="preserve">ECS Fargate ARM ap-southeast-1, staging 1 task 0,5 vCPU 1 GB: 0,024645 USD/giờ x 220 giờ = 5,42. Ngày tra 2026-10-16.</t>
  </si>
  <si>
    <t xml:space="preserve">authn</t>
  </si>
  <si>
    <t xml:space="preserve">Cognito User Pools Essentials liên kết SAML/OIDC</t>
  </si>
  <si>
    <t xml:space="preserve">Cognito ap-southeast-1 Essentials: 2.000 MAU x 0,015 USD = 30,00 cộng staging ~30 MAU x 0,015 = 0,45. SSO tập đoàn SAML/OIDC, MFA do IdP của tập đoàn thực thi. Trang giá không hiển thị Singapore, mức 0,015 lấy từ JSON: CHƯA CÓ BẰNG CHỨNG cho Singapore. Ngày tra 2026-10-16.</t>
  </si>
  <si>
    <t xml:space="preserve">E52; https://aws.amazon.com/cognito/pricing/</t>
  </si>
  <si>
    <t xml:space="preserve">authz</t>
  </si>
  <si>
    <t xml:space="preserve">Amazon Verified Permissions (Cedar) ABAC/RBAC</t>
  </si>
  <si>
    <t xml:space="preserve">Verified Permissions ap-southeast-1: ~4,5 triệu single authorization request (1,1 triệu request x ~4 kiểm tra, gồm staging) x 5 USD/triệu = 22,50. ACL tài liệu nằm trong RLS của database, không tính ở đây. Ngày tra 2026-10-16.</t>
  </si>
  <si>
    <t xml:space="preserve">E53; E54; https://aws.amazon.com/verified-permissions/pricing/; https://docs.aws.amazon.com/general/latest/gr/verifiedpermissions.html</t>
  </si>
  <si>
    <t xml:space="preserve">secrets_kms</t>
  </si>
  <si>
    <t xml:space="preserve">KMS khóa CMK (token connector, S3, RDS, log)</t>
  </si>
  <si>
    <t xml:space="preserve">KMS ap-southeast-1: 5 khóa prod + 3 khóa staging = 8 x 1 USD/khóa-tháng = 8,00. Ngày tra 2026-10-16.</t>
  </si>
  <si>
    <t xml:space="preserve">E55; https://aws.amazon.com/kms/pricing/</t>
  </si>
  <si>
    <t xml:space="preserve">KMS request mã hóa phong bì token và SSE-KMS</t>
  </si>
  <si>
    <t xml:space="preserve">KMS ap-southeast-1: ~4,8 triệu request/tháng (1,76 triệu giải mã token connector + S3 SSE-KMS với bucket key + RDS) x 0,03 USD/10.000 = 14,40. Ngày tra 2026-10-16.</t>
  </si>
  <si>
    <t xml:space="preserve">Secrets Manager cho secret nền tảng</t>
  </si>
  <si>
    <t xml:space="preserve">Secrets Manager ap-southeast-1: 32 secret (20 prod + 12 staging: client secret OAuth, mật khẩu DB, khóa ký) x 0,40 USD = 12,80 cộng 0,5 triệu API call x 0,05 USD/10.000 = 2,50. Token OAuth từng user KHÔNG lưu ở đây mà mã hóa phong bì KMS trong RDS. Ngày tra 2026-10-16.</t>
  </si>
  <si>
    <t xml:space="preserve">E56; https://aws.amazon.com/secrets-manager/pricing/</t>
  </si>
  <si>
    <t xml:space="preserve">governance</t>
  </si>
  <si>
    <t xml:space="preserve">Bedrock Guardrails đầu vào và nội dung chưa tin cậy</t>
  </si>
  <si>
    <t xml:space="preserve">Bedrock Guardrails ap-southeast-1, content filter kèm prompt attack 0,15 USD/1000 text unit x 5,28 triệu unit = 792,00 (3,3 triệu unit prompt người dùng + 1,98 triệu unit nội dung connector trước hành động ghi). Trang giá xác nhận giá hai tầng như nhau (0,15); mức Singapore chưa thấy trên trang. Tiếng Việt chỉ ở tầng Standard (bắt buộc cross-Region inference). Đầu ra dùng regex (0 USD) vì word filter không hỗ trợ tiếng Việt. Ngày tra 2026-10-16.</t>
  </si>
  <si>
    <t xml:space="preserve">E57; E58; E59; E60; https://aws.amazon.com/bedrock/pricing/; https://docs.aws.amazon.com/bedrock/latest/userguide/guardrails-tiers.html; https://docs.aws.amazon.com/bedrock/latest/userguide/guardrails-cross-region.html; https://docs.aws.amazon.com/bedrock/latest/userguide/guardrails-supported-languages.html</t>
  </si>
  <si>
    <t xml:space="preserve">Presidio DLP/PII trên Fargate prod</t>
  </si>
  <si>
    <t xml:space="preserve">ECS Fargate ARM ap-southeast-1, 2 task 1 vCPU 2 GB ở 2 AZ: 2 x (0,04045 + 2 x 0,00442) = 0,09858 USD/giờ x 730 = 71,96. Che PII cho đầu vào, đầu ra và log; thêm recognizer regex số CCCD/điện thoại/MST. Ngày tra 2026-10-16.</t>
  </si>
  <si>
    <t xml:space="preserve">Presidio DLP staging</t>
  </si>
  <si>
    <t xml:space="preserve">ECS Fargate ARM ap-southeast-1 staging 1 task 1 vCPU 2 GB: 0,04929 USD/giờ x 220 giờ = 10,84. Ngày tra 2026-10-16.</t>
  </si>
  <si>
    <t xml:space="preserve">Audit log 12 tháng trên S3 Object Lock</t>
  </si>
  <si>
    <t xml:space="preserve">S3 Standard ap-southeast-1: 22 GB log/tháng x 12 tháng = 264 GB x 0,025 USD/GB-tháng = 6,60 (trạng thái ổn định tháng 12). Object Lock chế độ compliance, mã hóa SSE-KMS. Ngày tra 2026-10-16.</t>
  </si>
  <si>
    <t xml:space="preserve">compute</t>
  </si>
  <si>
    <t xml:space="preserve">App/API/SSE + auth prod (ECS Fargate Graviton)</t>
  </si>
  <si>
    <t xml:space="preserve">ECS Fargate ARM (Graviton), ap-southeast-1, 2 AZ. 220h giờ hành chính: 4 task × (1 vCPU, 2 GB) = 4 vCPU, 8 GB; 510h ngoài giờ: 2 task × (0.5 vCPU, 1 GB) = 1 vCPU, 2 GB. Đơn giá 0.04045 USD/vCPU-giờ và 0.00442 USD/GB-giờ. (4×0.04045+8×0.00442)×220 + (1×0.04045+2×0.00442)×510 [CHƯA CÓ BẰNG CHỨNG trên trang: giá lấy từ Price List, trang tải tự động không hiện số Singapore; ảnh chưa chụp]</t>
  </si>
  <si>
    <t xml:space="preserve">E01; E17; https://aws.amazon.com/fargate/pricing/; https://docs.aws.amazon.com/AmazonECS/latest/developerguide/AWS_Fargate-Regions.html</t>
  </si>
  <si>
    <t xml:space="preserve">Worker agent nền (SQS consumer) prod, Fargate Graviton</t>
  </si>
  <si>
    <t xml:space="preserve">ECS Fargate ARM, ap-southeast-1. 220h: 4 task × (2 vCPU, 4 GB) = 8 vCPU, 16 GB (~57 agent chạy đồng thời lúc burst, mỗi task ~15); 510h: 2 task × (0.5 vCPU, 1 GB). (8×0.04045+16×0.00442)×220 + (1×0.04045+2×0.00442)×510 [CHƯA CÓ BẰNG CHỨNG trên trang: giá lấy từ Price List, trang tải tự động không hiện số Singapore; ảnh chưa chụp]</t>
  </si>
  <si>
    <t xml:space="preserve">Môi trường staging, tắt ngoài giờ</t>
  </si>
  <si>
    <t xml:space="preserve">Staging: app 1×(0.5 vCPU,1 GB) + worker 1×(0.5 vCPU,1 GB) = 1 vCPU, 2 GB, chỉ chạy 220h giờ hành chính (scheduled scaling về 0 ngoài giờ), ECS Fargate ARM ap-southeast-1. (1×0.04045+2×0.00442)×220. Task gateway staging do component gateway (phần A) tính; RDS staging riêng tính ở phần B; NAT, endpoint, ALB dùng chung với prod [CHƯA CÓ BẰNG CHỨNG trên trang: giá lấy từ Price List, trang tải tự động không hiện số Singapore; ảnh chưa chụp]</t>
  </si>
  <si>
    <t xml:space="preserve">load_balancer</t>
  </si>
  <si>
    <t xml:space="preserve">ALB internet-facing, 2 AZ (phí theo giờ)</t>
  </si>
  <si>
    <t xml:space="preserve">1 Application Load Balancer, ap-southeast-1, trải 2 AZ, dùng chung prod và staging bằng host rule. 730 giờ × 0.0252 USD/giờ [CHƯA CÓ BẰNG CHỨNG trên trang: giá lấy từ Price List, trang tải tự động không hiện số Singapore; ảnh chưa chụp]</t>
  </si>
  <si>
    <t xml:space="preserve">E02; https://aws.amazon.com/elasticloadbalancing/pricing/</t>
  </si>
  <si>
    <t xml:space="preserve">ALB LCU (phí theo dung lượng)</t>
  </si>
  <si>
    <t xml:space="preserve">ap-southeast-1. Giả định 2 LCU lúc giờ cao điểm 220h và 1 LCU ngoài giờ 510h (600 kết nối SSE, ~4 kết nối mới/giây, vài GB/ngày) → 950 LCU-giờ × 0.008 USD [CHƯA CÓ BẰNG CHỨNG trên trang: giá lấy từ Price List, trang tải tự động không hiện số Singapore; ảnh chưa chụp]</t>
  </si>
  <si>
    <t xml:space="preserve">AWS WAF trước ALB</t>
  </si>
  <si>
    <t xml:space="preserve">AWS WAF ap-southeast-1: 1 web ACL × 5 USD + 5 rule × 1 USD (managed core, bad inputs, SQLi, IP reputation, rate limit) + 10 triệu request/tháng × 0.60 USD/triệu (giả định 1.1 triệu request chat × ~9 lời gọi HTTP). Bot Control không dùng [CHƯA CÓ BẰNG CHỨNG trên trang: giá lấy từ Price List, trang tải tự động không hiện số Singapore; ảnh chưa chụp]</t>
  </si>
  <si>
    <t xml:space="preserve">E03; https://aws.amazon.com/waf/pricing/</t>
  </si>
  <si>
    <t xml:space="preserve">network</t>
  </si>
  <si>
    <t xml:space="preserve">NAT Gateway, mỗi AZ một cái (HA)</t>
  </si>
  <si>
    <t xml:space="preserve">2 NAT Gateway (zonal, 1 mỗi AZ) ap-southeast-1 × 730 giờ × 0.059 USD/giờ. Cần cho connector gọi Google/Microsoft/Atlassian/Notion; subnet sandbox không có route tới NAT [CHƯA CÓ BẰNG CHỨNG trên trang: giá lấy từ Price List, trang tải tự động không hiện số Singapore; ảnh chưa chụp]</t>
  </si>
  <si>
    <t xml:space="preserve">E04; https://aws.amazon.com/vpc/pricing/</t>
  </si>
  <si>
    <t xml:space="preserve">NAT Gateway: dữ liệu xử lý</t>
  </si>
  <si>
    <t xml:space="preserve">ap-southeast-1. 207 GB/tháng × 0.059 USD/GB: 88 GB connector (uoc-luong-tai) + ~57 GB ảnh trả về từ Stable Image Core ở us-west-2 (113,300 ảnh × 500 KB, phần A; gọi bedrock-runtime.us-west-2 qua NAT vì endpoint riêng chỉ có ở Singapore) + ~62 GB webhook, kéo image, cập nhật. Phí truyền ra từ us-west-2 (nếu AWS tính): CHƯA CÓ BẰNG CHỨNG, không cộng [CHƯA CÓ BẰNG CHỨNG trên trang: giá lấy từ Price List, trang tải tự động không hiện số Singapore; ảnh chưa chụp]</t>
  </si>
  <si>
    <t xml:space="preserve">VPC interface endpoint: Bedrock Runtime, STS, KMS, Logs, SQS</t>
  </si>
  <si>
    <t xml:space="preserve">5 interface endpoint × 2 AZ × 730 giờ × 0.013 USD/giờ, ap-southeast-1. Bedrock đi đường riêng (H1); S3 dùng gateway endpoint (không tính phí endpoint, chỉ tiền S3). Endpoint có ở mỗi AZ nên một AZ mất vẫn gọi được [CHƯA CÓ BẰNG CHỨNG trên trang: giá lấy từ Price List, trang tải tự động không hiện số Singapore; ảnh chưa chụp]</t>
  </si>
  <si>
    <t xml:space="preserve">E05; E18; https://aws.amazon.com/privatelink/pricing/; https://docs.aws.amazon.com/bedrock/latest/userguide/vpc-interface-endpoints.html</t>
  </si>
  <si>
    <t xml:space="preserve">VPC interface endpoint: dữ liệu xử lý</t>
  </si>
  <si>
    <t xml:space="preserve">ap-southeast-1. ~110 GB/tháng qua endpoint (~55 GB token Bedrock, 22 GB log, còn lại SQS/STS/KMS) × 0.01 USD/GB [CHƯA CÓ BẰNG CHỨNG trên trang: giá lấy từ Price List, trang tải tự động không hiện số Singapore; ảnh chưa chụp]</t>
  </si>
  <si>
    <t xml:space="preserve">E05; https://aws.amazon.com/privatelink/pricing/</t>
  </si>
  <si>
    <t xml:space="preserve">Truyền dữ liệu giữa các AZ</t>
  </si>
  <si>
    <t xml:space="preserve">ap-southeast-1. Giả định 300 GB/tháng đi chéo AZ (ALB→task, app→gateway) × 0.01 USD/GB mỗi chiều × 2 chiều = 0.02 USD/GB. Sao chép đồng bộ Multi-AZ của RDS do AWS không tính riêng [CHƯA CÓ BẰNG CHỨNG trên trang: giá lấy từ Price List, trang tải tự động không hiện số Singapore; ảnh chưa chụp]</t>
  </si>
  <si>
    <t xml:space="preserve">E06; https://aws.amazon.com/ec2/pricing/on-demand/</t>
  </si>
  <si>
    <t xml:space="preserve">Truyền dữ liệu ra internet cho người dùng</t>
  </si>
  <si>
    <t xml:space="preserve">ap-southeast-1. 200 GB/tháng (phản hồi SSE ~7 GB, file DOCX/PPTX/XLSX tải về, ~55 GB ảnh sinh ra cho cấp 5) × 0.12 USD/GB bậc đầu 10 TB. Tính đủ toàn bộ 200 GB, không trừ hạn mức nào [CHƯA CÓ BẰNG CHỨNG trên trang: giá lấy từ Price List, trang tải tự động không hiện số Singapore; ảnh chưa chụp]</t>
  </si>
  <si>
    <t xml:space="preserve">Route 53 (DNS)</t>
  </si>
  <si>
    <t xml:space="preserve">1 hosted zone × 0.50 USD + ~2 triệu truy vấn × 0.40 USD/triệu. Chứng chỉ TLS của ACM cho ALB không tính phí [CHƯA CÓ BẰNG CHỨNG trên trang: giá lấy từ Price List, trang tải tự động không hiện số Singapore; ảnh chưa chụp]</t>
  </si>
  <si>
    <t xml:space="preserve">E07; https://aws.amazon.com/route53/pricing/</t>
  </si>
  <si>
    <t xml:space="preserve">backup_dr</t>
  </si>
  <si>
    <t xml:space="preserve">RDS PostgreSQL: lưu bản sao lưu tự động tại Singapore</t>
  </si>
  <si>
    <t xml:space="preserve">RDS PostgreSQL Multi-AZ (instance do phần B định cỡ), ap-southeast-1. Phần B định cỡ DB 300 GB gp3; giữ 7 ngày PITR + snapshot ≈ 400 GB × 0.095 USD/GB-tháng; không trừ phần dung lượng backup đi kèm instance [CHƯA CÓ BẰNG CHỨNG trên trang: giá lấy từ Price List, trang tải tự động không hiện số Singapore; ảnh chưa chụp]</t>
  </si>
  <si>
    <t xml:space="preserve">E08; https://aws.amazon.com/rds/postgresql/pricing/</t>
  </si>
  <si>
    <t xml:space="preserve">RDS: sao chép bản sao lưu xuyên region (truyền dữ liệu)</t>
  </si>
  <si>
    <t xml:space="preserve">Cross-Region automated backup replication Singapore → Sydney (RDS PostgreSQL Multi-AZ instance có hỗ trợ). ~200 GB/tháng (snapshot tăng thêm + WAL trên DB 300 GB, RPO vài phút) × 0.09 USD/GB truyền giữa region [CHƯA CÓ BẰNG CHỨNG trên trang: giá lấy từ Price List, trang tải tự động không hiện số Singapore; ảnh chưa chụp]</t>
  </si>
  <si>
    <t xml:space="preserve">E06; E09; https://docs.aws.amazon.com/AmazonRDS/latest/UserGuide/USER_ReplicateBackups.html</t>
  </si>
  <si>
    <t xml:space="preserve">RDS: lưu bản sao lưu tại region DR Sydney</t>
  </si>
  <si>
    <t xml:space="preserve">ap-southeast-2 (Sydney). ~400 GB × 0.095 USD/GB-tháng (DB 300 GB; cùng đơn giá Singapore, kiểm trên price list). Khôi phục bằng PITR ở Sydney khi mất cả region [CHƯA CÓ BẰNG CHỨNG trên trang: giá lấy từ Price List, trang tải tự động không hiện số Singapore; ảnh chưa chụp]</t>
  </si>
  <si>
    <t xml:space="preserve">S3 workspace: bản sao DR ở Sydney (lớp Glacier Instant Retrieval)</t>
  </si>
  <si>
    <t xml:space="preserve">S3 Cross-Region Replication Singapore → Sydney, lớp đích Glacier Instant Retrieval ap-southeast-2: workspace ~3.9 TB ≈ 4,000 GB × 0.005 USD/GB-tháng. Bản gốc ở Singapore tính trong object_storage (phần B) [CHƯA CÓ BẰNG CHỨNG trên trang: giá lấy từ Price List, trang tải tự động không hiện số Singapore; ảnh chưa chụp]</t>
  </si>
  <si>
    <t xml:space="preserve">E10; https://aws.amazon.com/s3/pricing/</t>
  </si>
  <si>
    <t xml:space="preserve">S3 CRR: truyền dữ liệu và Replication Time Control</t>
  </si>
  <si>
    <t xml:space="preserve">Dữ liệu mới/đổi ~200 GB/tháng (5% workspace) × (0.09 USD/GB truyền Singapore→Sydney + 0.015 USD/GB RTC) + 5 metric replication × 0.30 USD (tài liệu: metric RTC tính như custom metric; số metric là giả định). RTC: 99.9% object sao chép trong 15 phút (tài liệu AWS), phục vụ RPO 1 giờ. Lớp đích Glacier IR kết hợp RTC: CHƯA CÓ BẰNG CHỨNG trên tài liệu [CHƯA CÓ BẰNG CHỨNG trên trang: giá lấy từ Price List, trang tải tự động không hiện số Singapore; ảnh chưa chụp]</t>
  </si>
  <si>
    <t xml:space="preserve">E06; E10; E19; https://aws.amazon.com/s3/pricing/; https://docs.aws.amazon.com/AmazonS3/latest/userguide/replication-time-control.html</t>
  </si>
  <si>
    <t xml:space="preserve">S3 CRR: request PUT vào Glacier IR ở Sydney</t>
  </si>
  <si>
    <t xml:space="preserve">ap-southeast-2. ~100,000 object mới/tháng (giả định) × 0.02 USD/1,000 PUT vào Glacier Instant Retrieval [CHƯA CÓ BẰNG CHỨNG trên trang: giá lấy từ Price List, trang tải tự động không hiện số Singapore; ảnh chưa chụp]</t>
  </si>
  <si>
    <t xml:space="preserve">S3 CRR: chép lần đầu 3.9 TB, chia đều 12 tháng</t>
  </si>
  <si>
    <t xml:space="preserve">Chi phí một lần: 4,000 GB × 0.09 USD/GB truyền Singapore→Sydney = 360 USD, quy về hiệu dụng 12 tháng = 30 USD/tháng (cam kết nằm ở cột Ghi chú theo quy định). Chưa gồm PUT của 3.9 TB lần đầu [CHƯA CÓ BẰNG CHỨNG trên trang: giá lấy từ Price List, trang tải tự động không hiện số Singapore; ảnh chưa chụp]</t>
  </si>
  <si>
    <t xml:space="preserve">E06; E10; https://aws.amazon.com/ec2/pricing/on-demand/</t>
  </si>
  <si>
    <t xml:space="preserve">Sao chép image ECR sang Sydney</t>
  </si>
  <si>
    <t xml:space="preserve">ECR replication Singapore → Sydney: ~15 GB image × 0.10 USD/GB-tháng lưu ở Sydney + 15 GB × 0.09 USD/GB truyền lần đầu quy 1 tháng (giả định thay toàn bộ image mỗi tháng). Đơn giá lưu Sydney 0.10 chưa đối chiếu, lấy bằng Singapore [CHƯA CÓ BẰNG CHỨNG trên trang: giá lấy từ Price List, trang tải tự động không hiện số Singapore; ảnh chưa chụp]</t>
  </si>
  <si>
    <t xml:space="preserve">E11; https://aws.amazon.com/ecr/pricing/</t>
  </si>
  <si>
    <t xml:space="preserve">Diễn tập khôi phục (restore test) hằng tháng và quý</t>
  </si>
  <si>
    <t xml:space="preserve">RDS db.m7g.large Single-AZ PostgreSQL ap-southeast-1 × 0.234 USD/giờ. 12 lần test tháng × 3 giờ (DB 300 GB) + 4 lần diễn tập quý × 10 giờ = 76 giờ/năm = 6.33 giờ/tháng. Chưa gồm EBS tạm của instance test (nhỏ) [CHƯA CÓ BẰNG CHỨNG trên trang: giá lấy từ Price List, trang tải tự động không hiện số Singapore; ảnh chưa chụp]</t>
  </si>
  <si>
    <t xml:space="preserve">monitoring</t>
  </si>
  <si>
    <t xml:space="preserve">CloudWatch Logs: nhập log ứng dụng và hạ tầng</t>
  </si>
  <si>
    <t xml:space="preserve">ap-southeast-1. Giả định 15 GB/tháng stdout của app, gateway, worker, ALB/WAF error × 0.70 USD/GB; giữ 30 ngày. Audit 12 tháng KHÔNG ở CloudWatch: nằm ở S3 Object Lock (phần B). Log ALB đẩy sang S3 [CHƯA CÓ BẰNG CHỨNG trên trang: giá lấy từ Price List, trang tải tự động không hiện số Singapore; ảnh chưa chụp]</t>
  </si>
  <si>
    <t xml:space="preserve">E12; https://aws.amazon.com/cloudwatch/pricing/</t>
  </si>
  <si>
    <t xml:space="preserve">CloudWatch Logs: lưu trữ log ứng dụng 30 ngày</t>
  </si>
  <si>
    <t xml:space="preserve">ap-southeast-1. 15 GB log ứng dụng giữ 30 ngày × 0.03 USD/GB-tháng. Không lưu audit 12 tháng ở đây (đã có ở S3 Object Lock, phần B) [CHƯA CÓ BẰNG CHỨNG trên trang: giá lấy từ Price List, trang tải tự động không hiện số Singapore; ảnh chưa chụp]</t>
  </si>
  <si>
    <t xml:space="preserve">CloudWatch Logs Insights: truy vấn</t>
  </si>
  <si>
    <t xml:space="preserve">ap-southeast-1. Giả định quét ~30 GB/tháng log ứng dụng khi điều tra sự cố × 0.007 USD/GB [CHƯA CÓ BẰNG CHỨNG trên trang: giá lấy từ Price List, trang tải tự động không hiện số Singapore; ảnh chưa chụp]</t>
  </si>
  <si>
    <t xml:space="preserve">CloudWatch alarm (ngân sách token, độ trễ, lỗi, AZ)</t>
  </si>
  <si>
    <t xml:space="preserve">ap-southeast-1. 40 alarm tiêu chuẩn × 0.10 USD/alarm-tháng: p95 TTFT, lỗi 5xx, hàng đợi SQS, ngân sách token theo người/đơn vị, Bedrock throttling, RDS failover, NAT [CHƯA CÓ BẰNG CHỨNG trên trang: giá lấy từ Price List, trang tải tự động không hiện số Singapore; ảnh chưa chụp]</t>
  </si>
  <si>
    <t xml:space="preserve">CloudWatch custom metric (LLM observability: TTFT, token, chi phí)</t>
  </si>
  <si>
    <t xml:space="preserve">ap-southeast-1. 100 metric × 0.30 USD/metric-tháng (bậc 10,000 đầu): TTFT, token vào/ra, cache hit, lỗi, chi phí theo model và cấp tác vụ, đẩy bằng EMF từ gateway. LiteLLM ghi chi tiết theo user vào RDS (phần A). Không tự host Langfuse, xem phan-C [CHƯA CÓ BẰNG CHỨNG trên trang: giá lấy từ Price List, trang tải tự động không hiện số Singapore; ảnh chưa chụp]</t>
  </si>
  <si>
    <t xml:space="preserve">cicd</t>
  </si>
  <si>
    <t xml:space="preserve">GitHub Actions runner Linux arm64</t>
  </si>
  <si>
    <t xml:space="preserve">GitHub-hosted runner Linux 2-core arm64 × 0.005 USD/phút. Giả định 3,000 phút/tháng (~100 lần chạy × 30 phút gồm build, test, bộ eval chất lượng, terraform plan) tính hết, không trừ phút kèm gói [ảnh chưa chụp]</t>
  </si>
  <si>
    <t xml:space="preserve">E13; https://docs.github.com/en/billing/reference/actions-runner-pricing</t>
  </si>
  <si>
    <t xml:space="preserve">Amazon ECR: lưu image</t>
  </si>
  <si>
    <t xml:space="preserve">ECR ap-southeast-1: ~15 GB image (3 dịch vụ + image sandbox, giữ 10 bản gần nhất, lifecycle policy) × 0.10 USD/GB-tháng. Terraform CLI mã nguồn mở, state nằm trong S3 của phần B [CHƯA CÓ BẰNG CHỨNG trên trang: giá lấy từ Price List, trang tải tự động không hiện số Singapore; ảnh chưa chụp]</t>
  </si>
  <si>
    <t xml:space="preserve">licenses</t>
  </si>
  <si>
    <t xml:space="preserve">GitHub Team: 3 seat</t>
  </si>
  <si>
    <t xml:space="preserve">3 seat GitHub Team × 4 USD/người/tháng (repo private, branch protection, code review bắt buộc). Trang giá ghi kèm "first 12 months", chưa rõ giá sau 12 tháng. Không mua AWS Support trả phí, xem phan-C mục 6 [Giá 4 USD thấy trên trang nhưng kèm "first 12 months": CHƯA CÓ BẰNG CHỨNG cho giá niêm yết sau 12 tháng; ảnh chưa chụp]</t>
  </si>
  <si>
    <t xml:space="preserve">E14; https://github.com/pricing</t>
  </si>
  <si>
    <t xml:space="preserve">ops_labor</t>
  </si>
  <si>
    <t xml:space="preserve">SRE/Platform engineer 1.0 FTE</t>
  </si>
  <si>
    <t xml:space="preserve">1.0 FTE SRE senior phụ trách hạ tầng, HA, DR, CI/CD, FinOps. Lương gộp tham khảo 2,700 USD/tháng (dải 2,200-3,200 USD, ~25,000 VND/USD) × 1.3 hệ số bảo hiểm xã hội, thưởng tháng 13 = 3,510 làm tròn 3,500</t>
  </si>
  <si>
    <t xml:space="preserve">NA</t>
  </si>
  <si>
    <t xml:space="preserve">LLMOps/MLOps engineer 0.5 FTE</t>
  </si>
  <si>
    <t xml:space="preserve">0.5 FTE: bộ eval gate, routing mô hình, theo dõi chất lượng và chi phí token theo cấp, theo dõi Bedrock quota. 0.5 × 2,700 × 1.3 = 1,755 làm tròn 1,750</t>
  </si>
  <si>
    <t xml:space="preserve">Phụ cấp trực (on-call)</t>
  </si>
  <si>
    <t xml:space="preserve">Luân phiên 2 người trực giờ hành chính + trực nền 24/7 chỉ nhận cảnh báo mức nghiêm trọng, ~200 USD/tháng phụ cấp. SLA 99.5% chỉ trong giờ hành chính 8:00-18:00 T2-T6</t>
  </si>
  <si>
    <t xml:space="preserve">contingency</t>
  </si>
  <si>
    <t xml:space="preserve">Dự phòng 5% trên chi phí hạ tầng phần C (không gồm nhân sự)</t>
  </si>
  <si>
    <t xml:space="preserve">5% × tổng các dòng compute, load_balancer, network, backup_dr, monitoring, cicd, licenses của phần C (705.38 USD). Lý do: đơn giá AWS niêm yết cố định, rủi ro nằm ở khối lượng (log, truyền dữ liệu, task). Khi ghép bài tính lại 5% trên toàn bộ dòng không phải nhân sự của A+B+C</t>
  </si>
  <si>
    <t xml:space="preserve">TOTAL</t>
  </si>
  <si>
    <t xml:space="preserve">evidence_id</t>
  </si>
  <si>
    <t xml:space="preserve">Mô tả</t>
  </si>
  <si>
    <t xml:space="preserve">Link</t>
  </si>
  <si>
    <t xml:space="preserve">Ngày chụp/tra</t>
  </si>
  <si>
    <t xml:space="preserve">Ảnh chụp màn hình (dán vào đây)</t>
  </si>
  <si>
    <t xml:space="preserve">E01</t>
  </si>
  <si>
    <t xml:space="preserve">AWS Fargate, Linux/ARM, Singapore. SKU `APS1-Fargate-ARM-vCPU-Hours:perCPU` (SFSC5A7DP37FRTNX) 0,04045 USD/vCPU-giờ; `APS1-Fargate-ARM-GB-Hours` (U4BJMTG9K96ZW3HA) 0,00442 USD/GB-giờ; x86 để so: 0,05056 và 0,00553</t>
  </si>
  <si>
    <t xml:space="preserve">https://aws.amazon.com/fargate/pricing/</t>
  </si>
  <si>
    <t xml:space="preserve">2026-10-16</t>
  </si>
  <si>
    <t xml:space="preserve">CHƯA CHỤP</t>
  </si>
  <si>
    <t xml:space="preserve">E02</t>
  </si>
  <si>
    <t xml:space="preserve">Elastic Load Balancing, ALB, Singapore. `APS1-LoadBalancerUsage` (UXD3JNG6UAM79CW6) 0,0252 USD/giờ; `APS1-LCUUsage` (45KY3J5YX2QM6KS7) 0,008 USD/LCU-giờ</t>
  </si>
  <si>
    <t xml:space="preserve">https://aws.amazon.com/elasticloadbalancing/pricing/</t>
  </si>
  <si>
    <t xml:space="preserve">E03</t>
  </si>
  <si>
    <t xml:space="preserve">AWS WAF, Singapore. Web ACL 5 USD (`APS1-WebACLV2`); rule 1 USD (`APS1-RuleV2`); request 0,60 USD/triệu (`APS1-RequestV2-Tier1`)</t>
  </si>
  <si>
    <t xml:space="preserve">https://aws.amazon.com/waf/pricing/</t>
  </si>
  <si>
    <t xml:space="preserve">E04</t>
  </si>
  <si>
    <t xml:space="preserve">Amazon VPC, NAT Gateway, Singapore. `APS1-NatGateway-Hours` (98TA3WPUP3A4AH4Y) 0,059 USD/giờ; `APS1-NatGateway-Bytes` (E9U985ZGMWKXKT47) 0,059 USD/GB</t>
  </si>
  <si>
    <t xml:space="preserve">https://aws.amazon.com/vpc/pricing/</t>
  </si>
  <si>
    <t xml:space="preserve">E05</t>
  </si>
  <si>
    <t xml:space="preserve">AWS PrivateLink / VPC interface endpoint, Singapore. `APS1-VpcEndpoint-Hours` (ZW3HVQKP8FYZ6Y6K) 0,013 USD/giờ; `APS1-VpcEndpoint-Bytes` (5APZT8JXA5B8ZYFH) 0,01 USD/GB</t>
  </si>
  <si>
    <t xml:space="preserve">https://aws.amazon.com/privatelink/pricing/</t>
  </si>
  <si>
    <t xml:space="preserve">E06</t>
  </si>
  <si>
    <t xml:space="preserve">EC2 Data Transfer, từ Singapore. Chéo AZ `APS1-DataTransfer-Regional-Bytes` 0,01 USD/GB mỗi chiều; Singapore→Sydney `APS1-APS2-AWS-Out-Bytes` 0,09 USD/GB; ra internet `APS1-DataTransfer-Out-Bytes` 0,12 USD/GB (10 TB đầu)</t>
  </si>
  <si>
    <t xml:space="preserve">https://aws.amazon.com/ec2/pricing/on-demand/</t>
  </si>
  <si>
    <t xml:space="preserve">E07</t>
  </si>
  <si>
    <t xml:space="preserve">Amazon Route 53. Hosted zone 0,50 USD; 0,40 USD/triệu truy vấn</t>
  </si>
  <si>
    <t xml:space="preserve">https://aws.amazon.com/route53/pricing/</t>
  </si>
  <si>
    <t xml:space="preserve">E08</t>
  </si>
  <si>
    <t xml:space="preserve">Amazon RDS for PostgreSQL. Backup `APS1-RDS:ChargedBackupUsage` (9XF3U4K57MG3MUFQ) 0,095 USD/GB-tháng; Sydney `APS2-RDS:ChargedBackupUsage` (VYKYXA2YZQU8JQST) 0,095; db.m7g.large Single-AZ `APS1-InstanceUsage:db.m7g.large` (8W5CS8WBUSEKDU63) 0,234 USD/giờ</t>
  </si>
  <si>
    <t xml:space="preserve">https://aws.amazon.com/rds/postgresql/pricing/</t>
  </si>
  <si>
    <t xml:space="preserve">E09</t>
  </si>
  <si>
    <t xml:space="preserve">Tài liệu RDS: Cross-Region automated backups</t>
  </si>
  <si>
    <t xml:space="preserve">https://docs.aws.amazon.com/AmazonRDS/latest/UserGuide/USER_ReplicateBackups.html</t>
  </si>
  <si>
    <t xml:space="preserve">E10</t>
  </si>
  <si>
    <t xml:space="preserve">Amazon S3, Singapore và Sydney. Sydney Glacier IR `APS2-TimedStorage-GIR-ByteHrs` (BQEHYDSWNXGKE3Q) 0,005 USD/GB-tháng; PUT Glacier IR `APS2-Requests-GIR-Tier1` (3DY4FG7Y6XP9CUC8) 0,02 USD/1.000; RTC `APS1-APS2-S3RTC-Out-Bytes` (MV8M6229V7MSC4ZU) 0,015 USD/GB</t>
  </si>
  <si>
    <t xml:space="preserve">https://aws.amazon.com/s3/pricing/</t>
  </si>
  <si>
    <t xml:space="preserve">E11</t>
  </si>
  <si>
    <t xml:space="preserve">Amazon ECR. `APS1-TimedStorage-ByteHrs` (7V2YHG7PQ82BEXNB) 0,10 USD/GB-tháng</t>
  </si>
  <si>
    <t xml:space="preserve">https://aws.amazon.com/ecr/pricing/</t>
  </si>
  <si>
    <t xml:space="preserve">E12</t>
  </si>
  <si>
    <t xml:space="preserve">Amazon CloudWatch, Singapore. Log nhập `APS1-DataProcessing-Bytes` (ZEKCE7VGMSM5XZPW) 0,70 USD/GB; lưu `APS1-TimedStorage-ByteHrs` 0,03 USD/GB-tháng; Logs Insights `APS1-DataScanned-Bytes` (Q6A7EP9HFGQMKFWC) 0,007 USD/GB; alarm (ERS2PGV5BX4XH4WQ) 0,10 USD; custom metric (2BF5WZ4QVWF9XRRT) 0,30 USD</t>
  </si>
  <si>
    <t xml:space="preserve">https://aws.amazon.com/cloudwatch/pricing/</t>
  </si>
  <si>
    <t xml:space="preserve">E13</t>
  </si>
  <si>
    <t xml:space="preserve">GitHub Actions, Linux 2-core arm64 0,005 USD/phút</t>
  </si>
  <si>
    <t xml:space="preserve">https://docs.github.com/en/billing/reference/actions-runner-pricing</t>
  </si>
  <si>
    <t xml:space="preserve">E14</t>
  </si>
  <si>
    <t xml:space="preserve">GitHub Team 4 USD/người/tháng</t>
  </si>
  <si>
    <t xml:space="preserve">https://github.com/pricing</t>
  </si>
  <si>
    <t xml:space="preserve">E15</t>
  </si>
  <si>
    <t xml:space="preserve">AWS Support (chỉ căn cứ quyết định không mua): Business Support+ = max(29 USD; 9% tới 10 K, 7% 10-80 K, 5% 80-250 K, 3% trên 250 K)</t>
  </si>
  <si>
    <t xml:space="preserve">https://aws.amazon.com/premiumsupport/pricing/</t>
  </si>
  <si>
    <t xml:space="preserve">E16</t>
  </si>
  <si>
    <t xml:space="preserve">Amazon EKS (chỉ so sánh với Fargate): `APS1-AmazonEKS-Hours:perCluster` 0,10 USD/giờ</t>
  </si>
  <si>
    <t xml:space="preserve">https://aws.amazon.com/eks/pricing/</t>
  </si>
  <si>
    <t xml:space="preserve">E17</t>
  </si>
  <si>
    <t xml:space="preserve">Tài liệu Fargate: vùng hỗ trợ và ARM</t>
  </si>
  <si>
    <t xml:space="preserve">https://docs.aws.amazon.com/AmazonECS/latest/developerguide/AWS_Fargate-Regions.html</t>
  </si>
  <si>
    <t xml:space="preserve">E18</t>
  </si>
  <si>
    <t xml:space="preserve">Tài liệu Bedrock endpoint và RDS Multi-AZ</t>
  </si>
  <si>
    <t xml:space="preserve">https://docs.aws.amazon.com/general/latest/gr/bedrock.html</t>
  </si>
  <si>
    <t xml:space="preserve">E19</t>
  </si>
  <si>
    <t xml:space="preserve">Tài liệu S3 Replication Time Control</t>
  </si>
  <si>
    <t xml:space="preserve">https://docs.aws.amazon.com/AmazonS3/latest/userguide/replication-time-control.html</t>
  </si>
  <si>
    <t xml:space="preserve">E39</t>
  </si>
  <si>
    <t xml:space="preserve">Nguồn lương DevOps Việt Nam (căn cứ ops_labor)</t>
  </si>
  <si>
    <t xml:space="preserve">https://reliasoftware.com/blog/devops-engineer-salary-in-vietnam</t>
  </si>
  <si>
    <t xml:space="preserve">E20</t>
  </si>
  <si>
    <t xml:space="preserve">Bedrock pricing: Claude Haiku 5.5</t>
  </si>
  <si>
    <t xml:space="preserve">https://aws.amazon.com/bedrock/pricing/</t>
  </si>
  <si>
    <t xml:space="preserve">E21</t>
  </si>
  <si>
    <t xml:space="preserve">Bedrock pricing: Claude Sonnet 5.5</t>
  </si>
  <si>
    <t xml:space="preserve">E22</t>
  </si>
  <si>
    <t xml:space="preserve">Bedrock pricing: Claude Opus 5.5</t>
  </si>
  <si>
    <t xml:space="preserve">E23</t>
  </si>
  <si>
    <t xml:space="preserve">Bedrock pricing: Cohere Embed Multilingual</t>
  </si>
  <si>
    <t xml:space="preserve">E24</t>
  </si>
  <si>
    <t xml:space="preserve">Bedrock pricing: Stability Stable Image Core</t>
  </si>
  <si>
    <t xml:space="preserve">E25</t>
  </si>
  <si>
    <t xml:space="preserve">AWS Fargate pricing</t>
  </si>
  <si>
    <t xml:space="preserve">E26</t>
  </si>
  <si>
    <t xml:space="preserve">Bedrock docs: model theo region</t>
  </si>
  <si>
    <t xml:space="preserve">https://docs.aws.amazon.com/bedrock/latest/userguide/models-region-compatibility.html</t>
  </si>
  <si>
    <t xml:space="preserve">E27</t>
  </si>
  <si>
    <t xml:space="preserve">Bedrock docs: Prompt caching</t>
  </si>
  <si>
    <t xml:space="preserve">https://docs.aws.amazon.com/bedrock/latest/userguide/prompt-caching.html</t>
  </si>
  <si>
    <t xml:space="preserve">E28</t>
  </si>
  <si>
    <t xml:space="preserve">Bedrock docs: Cross-Region inference</t>
  </si>
  <si>
    <t xml:space="preserve">https://docs.aws.amazon.com/bedrock/latest/userguide/cross-region-inference.html</t>
  </si>
  <si>
    <t xml:space="preserve">E29</t>
  </si>
  <si>
    <t xml:space="preserve">Bedrock docs và FAQ: dữ liệu</t>
  </si>
  <si>
    <t xml:space="preserve">https://docs.aws.amazon.com/bedrock/latest/userguide/data-protection.html</t>
  </si>
  <si>
    <t xml:space="preserve">E30</t>
  </si>
  <si>
    <t xml:space="preserve">Bedrock API: Converse</t>
  </si>
  <si>
    <t xml:space="preserve">https://docs.aws.amazon.com/bedrock/latest/APIReference/API_runtime_Converse.html</t>
  </si>
  <si>
    <t xml:space="preserve">E31</t>
  </si>
  <si>
    <t xml:space="preserve">EC2 on-demand pricing</t>
  </si>
  <si>
    <t xml:space="preserve">E32</t>
  </si>
  <si>
    <t xml:space="preserve">EC2 Reserved pricing</t>
  </si>
  <si>
    <t xml:space="preserve">https://aws.amazon.com/ec2/pricing/reserved-instances/pricing/</t>
  </si>
  <si>
    <t xml:space="preserve">E33</t>
  </si>
  <si>
    <t xml:space="preserve">Bedrock pricing: DeepSeek, Qwen (Sydney)</t>
  </si>
  <si>
    <t xml:space="preserve">E35</t>
  </si>
  <si>
    <t xml:space="preserve">LiteLLM docs</t>
  </si>
  <si>
    <t xml:space="preserve">https://docs.litellm.ai/docs/proxy/virtual_keys</t>
  </si>
  <si>
    <t xml:space="preserve">E36</t>
  </si>
  <si>
    <t xml:space="preserve">Bedrock pricing: Nova Pro/Lite/Micro, Cohere Rerank 3.5, Guardrails</t>
  </si>
  <si>
    <t xml:space="preserve">E38</t>
  </si>
  <si>
    <t xml:space="preserve">Bedrock docs: Quotas</t>
  </si>
  <si>
    <t xml:space="preserve">https://docs.aws.amazon.com/bedrock/latest/userguide/quotas.html</t>
  </si>
  <si>
    <t xml:space="preserve">E40</t>
  </si>
  <si>
    <t xml:space="preserve">(xem link; phần B không ghi cột dịch vụ)</t>
  </si>
  <si>
    <t xml:space="preserve">E41</t>
  </si>
  <si>
    <t xml:space="preserve">https://docs.aws.amazon.com/AmazonRDS/latest/UserGuide/Concepts.DBInstanceClass.Support.html</t>
  </si>
  <si>
    <t xml:space="preserve">E42</t>
  </si>
  <si>
    <t xml:space="preserve">https://docs.aws.amazon.com/AmazonRDS/latest/PostgreSQLReleaseNotes/postgresql-extensions.html</t>
  </si>
  <si>
    <t xml:space="preserve">E43</t>
  </si>
  <si>
    <t xml:space="preserve">E44</t>
  </si>
  <si>
    <t xml:space="preserve">https://aws.amazon.com/elasticache/pricing/</t>
  </si>
  <si>
    <t xml:space="preserve">E45</t>
  </si>
  <si>
    <t xml:space="preserve">https://aws.amazon.com/sqs/pricing/</t>
  </si>
  <si>
    <t xml:space="preserve">E46</t>
  </si>
  <si>
    <t xml:space="preserve">https://aws.amazon.com/lambda/pricing/</t>
  </si>
  <si>
    <t xml:space="preserve">E47</t>
  </si>
  <si>
    <t xml:space="preserve">https://docs.aws.amazon.com/lambda/latest/dg/tenant-isolation.html</t>
  </si>
  <si>
    <t xml:space="preserve">E48</t>
  </si>
  <si>
    <t xml:space="preserve">https://docs.aws.amazon.com/lambda/latest/dg/gettingstarted-limits.html</t>
  </si>
  <si>
    <t xml:space="preserve">E49</t>
  </si>
  <si>
    <t xml:space="preserve">E50</t>
  </si>
  <si>
    <t xml:space="preserve">https://docs.aws.amazon.com/AmazonECS/latest/developerguide/AWS_Fargate.html</t>
  </si>
  <si>
    <t xml:space="preserve">E51</t>
  </si>
  <si>
    <t xml:space="preserve">https://docs.aws.amazon.com/STS/latest/APIReference/API_AssumeRole.html</t>
  </si>
  <si>
    <t xml:space="preserve">E52</t>
  </si>
  <si>
    <t xml:space="preserve">https://aws.amazon.com/cognito/pricing/</t>
  </si>
  <si>
    <t xml:space="preserve">E53</t>
  </si>
  <si>
    <t xml:space="preserve">https://aws.amazon.com/verified-permissions/pricing/</t>
  </si>
  <si>
    <t xml:space="preserve">E54</t>
  </si>
  <si>
    <t xml:space="preserve">https://docs.aws.amazon.com/general/latest/gr/verifiedpermissions.html</t>
  </si>
  <si>
    <t xml:space="preserve">E55</t>
  </si>
  <si>
    <t xml:space="preserve">https://aws.amazon.com/kms/pricing/</t>
  </si>
  <si>
    <t xml:space="preserve">E56</t>
  </si>
  <si>
    <t xml:space="preserve">https://aws.amazon.com/secrets-manager/pricing/</t>
  </si>
  <si>
    <t xml:space="preserve">E57</t>
  </si>
  <si>
    <t xml:space="preserve">E58</t>
  </si>
  <si>
    <t xml:space="preserve">https://docs.aws.amazon.com/bedrock/latest/userguide/guardrails-tiers.html</t>
  </si>
  <si>
    <t xml:space="preserve">E59</t>
  </si>
  <si>
    <t xml:space="preserve">https://docs.aws.amazon.com/bedrock/latest/userguide/guardrails-cross-region.html</t>
  </si>
  <si>
    <t xml:space="preserve">E60</t>
  </si>
  <si>
    <t xml:space="preserve">https://docs.aws.amazon.com/bedrock/latest/userguide/guardrails-supported-languages.html</t>
  </si>
  <si>
    <t xml:space="preserve">E61</t>
  </si>
  <si>
    <t xml:space="preserve">https://aws.amazon.com/comprehend/pricing/</t>
  </si>
  <si>
    <t xml:space="preserve">E62</t>
  </si>
  <si>
    <t xml:space="preserve">E63</t>
  </si>
  <si>
    <t xml:space="preserve">https://microsoft.github.io/presidio/</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</si>
</sst>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D9EDF6"/>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D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4" activeCellId="0" sqref="B4"/>
    </sheetView>
  </sheetViews>
  <sheetFormatPr defaultColWidth="8.83203125" defaultRowHeight="15" customHeight="false"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70"/>
    <col collapsed="false" customWidth="true" hidden="false" outlineLevel="0" max="4" min="4" style="0" width="16"/>
    <col collapsed="false" customWidth="true" hidden="false" outlineLevel="0" max="5" min="5" style="0" width="52"/>
  </cols>
  <sheetData>
    <row r="1" customFormat="false" ht="15" hidden="false" customHeight="false" outlineLevel="0" collapsed="false">
      <c r="A1" s="1" t="s">
        <v>0</v>
      </c>
      <c r="B1" s="1" t="s">
        <v>1</v>
      </c>
      <c r="C1" s="1" t="s">
        <v>2</v>
      </c>
      <c r="D1" s="1" t="s">
        <v>3</v>
      </c>
      <c r="E1" s="1" t="s">
        <v>4</v>
      </c>
    </row>
    <row r="2" customFormat="false" ht="92.55" hidden="false" customHeight="false" outlineLevel="0" collapsed="false">
      <c r="A2" s="2" t="s">
        <v>5</v>
      </c>
      <c r="B2" s="2" t="s">
        <v>6</v>
      </c>
      <c r="C2" s="2" t="s">
        <v>7</v>
      </c>
      <c r="D2" s="3" t="n">
        <v>461.41</v>
      </c>
      <c r="E2" s="2" t="s">
        <v>8</v>
      </c>
    </row>
    <row r="3" customFormat="false" ht="66.65" hidden="false" customHeight="false" outlineLevel="0" collapsed="false">
      <c r="A3" s="2" t="s">
        <v>5</v>
      </c>
      <c r="B3" s="2" t="s">
        <v>9</v>
      </c>
      <c r="C3" s="2" t="s">
        <v>10</v>
      </c>
      <c r="D3" s="3" t="n">
        <v>511.98</v>
      </c>
      <c r="E3" s="2" t="s">
        <v>11</v>
      </c>
    </row>
    <row r="4" customFormat="false" ht="92.55" hidden="false" customHeight="false" outlineLevel="0" collapsed="false">
      <c r="A4" s="2" t="s">
        <v>5</v>
      </c>
      <c r="B4" s="2" t="s">
        <v>12</v>
      </c>
      <c r="C4" s="2" t="s">
        <v>13</v>
      </c>
      <c r="D4" s="3" t="n">
        <v>2988.67</v>
      </c>
      <c r="E4" s="2" t="s">
        <v>14</v>
      </c>
    </row>
    <row r="5" customFormat="false" ht="66.65" hidden="false" customHeight="false" outlineLevel="0" collapsed="false">
      <c r="A5" s="2" t="s">
        <v>5</v>
      </c>
      <c r="B5" s="2" t="s">
        <v>15</v>
      </c>
      <c r="C5" s="2" t="s">
        <v>16</v>
      </c>
      <c r="D5" s="3" t="n">
        <v>3312.93</v>
      </c>
      <c r="E5" s="2" t="s">
        <v>17</v>
      </c>
    </row>
    <row r="6" customFormat="false" ht="66.65" hidden="false" customHeight="false" outlineLevel="0" collapsed="false">
      <c r="A6" s="2" t="s">
        <v>5</v>
      </c>
      <c r="B6" s="2" t="s">
        <v>18</v>
      </c>
      <c r="C6" s="2" t="s">
        <v>19</v>
      </c>
      <c r="D6" s="3" t="n">
        <v>4532</v>
      </c>
      <c r="E6" s="2" t="s">
        <v>20</v>
      </c>
    </row>
    <row r="7" customFormat="false" ht="40.7" hidden="false" customHeight="false" outlineLevel="0" collapsed="false">
      <c r="A7" s="2" t="s">
        <v>21</v>
      </c>
      <c r="B7" s="2" t="s">
        <v>22</v>
      </c>
      <c r="C7" s="2" t="s">
        <v>23</v>
      </c>
      <c r="D7" s="3" t="n">
        <v>10</v>
      </c>
      <c r="E7" s="2" t="s">
        <v>24</v>
      </c>
    </row>
    <row r="8" customFormat="false" ht="40.7" hidden="false" customHeight="false" outlineLevel="0" collapsed="false">
      <c r="A8" s="2" t="s">
        <v>21</v>
      </c>
      <c r="B8" s="2" t="s">
        <v>25</v>
      </c>
      <c r="C8" s="2" t="s">
        <v>26</v>
      </c>
      <c r="D8" s="3" t="n">
        <v>13.33</v>
      </c>
      <c r="E8" s="2" t="s">
        <v>24</v>
      </c>
    </row>
    <row r="9" customFormat="false" ht="66.65" hidden="false" customHeight="false" outlineLevel="0" collapsed="false">
      <c r="A9" s="2" t="s">
        <v>27</v>
      </c>
      <c r="B9" s="2" t="s">
        <v>28</v>
      </c>
      <c r="C9" s="2" t="s">
        <v>29</v>
      </c>
      <c r="D9" s="3" t="n">
        <v>76.86</v>
      </c>
      <c r="E9" s="2" t="s">
        <v>30</v>
      </c>
    </row>
    <row r="10" customFormat="false" ht="27.75" hidden="false" customHeight="false" outlineLevel="0" collapsed="false">
      <c r="A10" s="2" t="s">
        <v>27</v>
      </c>
      <c r="B10" s="2" t="s">
        <v>31</v>
      </c>
      <c r="C10" s="2" t="s">
        <v>32</v>
      </c>
      <c r="D10" s="3" t="n">
        <v>16.8</v>
      </c>
      <c r="E10" s="2" t="s">
        <v>33</v>
      </c>
    </row>
    <row r="11" customFormat="false" ht="79.6" hidden="false" customHeight="false" outlineLevel="0" collapsed="false">
      <c r="A11" s="2" t="s">
        <v>34</v>
      </c>
      <c r="B11" s="2" t="s">
        <v>35</v>
      </c>
      <c r="C11" s="2" t="s">
        <v>36</v>
      </c>
      <c r="D11" s="3" t="n">
        <v>787.67</v>
      </c>
      <c r="E11" s="2" t="s">
        <v>37</v>
      </c>
    </row>
    <row r="12" customFormat="false" ht="40.7" hidden="false" customHeight="false" outlineLevel="0" collapsed="false">
      <c r="A12" s="2" t="s">
        <v>34</v>
      </c>
      <c r="B12" s="2" t="s">
        <v>38</v>
      </c>
      <c r="C12" s="2" t="s">
        <v>39</v>
      </c>
      <c r="D12" s="3" t="n">
        <v>82.8</v>
      </c>
      <c r="E12" s="2" t="s">
        <v>40</v>
      </c>
    </row>
    <row r="13" customFormat="false" ht="40.7" hidden="false" customHeight="false" outlineLevel="0" collapsed="false">
      <c r="A13" s="2" t="s">
        <v>34</v>
      </c>
      <c r="B13" s="2" t="s">
        <v>41</v>
      </c>
      <c r="C13" s="2" t="s">
        <v>42</v>
      </c>
      <c r="D13" s="3" t="n">
        <v>81.36</v>
      </c>
      <c r="E13" s="2" t="s">
        <v>40</v>
      </c>
    </row>
    <row r="14" customFormat="false" ht="40.7" hidden="false" customHeight="false" outlineLevel="0" collapsed="false">
      <c r="A14" s="2" t="s">
        <v>43</v>
      </c>
      <c r="B14" s="2" t="s">
        <v>44</v>
      </c>
      <c r="C14" s="2" t="s">
        <v>45</v>
      </c>
      <c r="D14" s="3" t="n">
        <v>0</v>
      </c>
      <c r="E14" s="2" t="s">
        <v>46</v>
      </c>
    </row>
    <row r="15" customFormat="false" ht="40.7" hidden="false" customHeight="false" outlineLevel="0" collapsed="false">
      <c r="A15" s="2" t="s">
        <v>47</v>
      </c>
      <c r="B15" s="2" t="s">
        <v>48</v>
      </c>
      <c r="C15" s="2" t="s">
        <v>49</v>
      </c>
      <c r="D15" s="3" t="n">
        <v>100</v>
      </c>
      <c r="E15" s="2" t="s">
        <v>50</v>
      </c>
    </row>
    <row r="16" customFormat="false" ht="40.7" hidden="false" customHeight="false" outlineLevel="0" collapsed="false">
      <c r="A16" s="2" t="s">
        <v>47</v>
      </c>
      <c r="B16" s="2" t="s">
        <v>51</v>
      </c>
      <c r="C16" s="2" t="s">
        <v>52</v>
      </c>
      <c r="D16" s="3" t="n">
        <v>29.25</v>
      </c>
      <c r="E16" s="2" t="s">
        <v>50</v>
      </c>
    </row>
    <row r="17" customFormat="false" ht="53.7" hidden="false" customHeight="false" outlineLevel="0" collapsed="false">
      <c r="A17" s="2" t="s">
        <v>53</v>
      </c>
      <c r="B17" s="2" t="s">
        <v>54</v>
      </c>
      <c r="C17" s="2" t="s">
        <v>55</v>
      </c>
      <c r="D17" s="3" t="n">
        <v>56.06</v>
      </c>
      <c r="E17" s="2" t="s">
        <v>56</v>
      </c>
    </row>
    <row r="18" customFormat="false" ht="40.7" hidden="false" customHeight="false" outlineLevel="0" collapsed="false">
      <c r="A18" s="2" t="s">
        <v>53</v>
      </c>
      <c r="B18" s="2" t="s">
        <v>57</v>
      </c>
      <c r="C18" s="2" t="s">
        <v>58</v>
      </c>
      <c r="D18" s="3" t="n">
        <v>28.03</v>
      </c>
      <c r="E18" s="2" t="s">
        <v>56</v>
      </c>
    </row>
    <row r="19" customFormat="false" ht="40.7" hidden="false" customHeight="false" outlineLevel="0" collapsed="false">
      <c r="A19" s="2" t="s">
        <v>53</v>
      </c>
      <c r="B19" s="2" t="s">
        <v>59</v>
      </c>
      <c r="C19" s="2" t="s">
        <v>60</v>
      </c>
      <c r="D19" s="3" t="n">
        <v>4</v>
      </c>
      <c r="E19" s="2" t="s">
        <v>61</v>
      </c>
    </row>
    <row r="20" customFormat="false" ht="92.55" hidden="false" customHeight="false" outlineLevel="0" collapsed="false">
      <c r="A20" s="2" t="s">
        <v>62</v>
      </c>
      <c r="B20" s="2" t="s">
        <v>63</v>
      </c>
      <c r="C20" s="2" t="s">
        <v>64</v>
      </c>
      <c r="D20" s="3" t="n">
        <v>649.79</v>
      </c>
      <c r="E20" s="2" t="s">
        <v>65</v>
      </c>
    </row>
    <row r="21" customFormat="false" ht="40.7" hidden="false" customHeight="false" outlineLevel="0" collapsed="false">
      <c r="A21" s="2" t="s">
        <v>62</v>
      </c>
      <c r="B21" s="2" t="s">
        <v>66</v>
      </c>
      <c r="C21" s="2" t="s">
        <v>67</v>
      </c>
      <c r="D21" s="3" t="n">
        <v>19.72</v>
      </c>
      <c r="E21" s="2" t="s">
        <v>68</v>
      </c>
    </row>
    <row r="22" customFormat="false" ht="40.7" hidden="false" customHeight="false" outlineLevel="0" collapsed="false">
      <c r="A22" s="2" t="s">
        <v>62</v>
      </c>
      <c r="B22" s="2" t="s">
        <v>69</v>
      </c>
      <c r="C22" s="2" t="s">
        <v>70</v>
      </c>
      <c r="D22" s="3" t="n">
        <v>20</v>
      </c>
      <c r="E22" s="2" t="s">
        <v>71</v>
      </c>
    </row>
    <row r="23" customFormat="false" ht="53.7" hidden="false" customHeight="false" outlineLevel="0" collapsed="false">
      <c r="A23" s="2" t="s">
        <v>72</v>
      </c>
      <c r="B23" s="2" t="s">
        <v>73</v>
      </c>
      <c r="C23" s="2" t="s">
        <v>74</v>
      </c>
      <c r="D23" s="3" t="n">
        <v>35.98</v>
      </c>
      <c r="E23" s="2" t="s">
        <v>75</v>
      </c>
    </row>
    <row r="24" customFormat="false" ht="27.75" hidden="false" customHeight="false" outlineLevel="0" collapsed="false">
      <c r="A24" s="2" t="s">
        <v>72</v>
      </c>
      <c r="B24" s="2" t="s">
        <v>76</v>
      </c>
      <c r="C24" s="2" t="s">
        <v>77</v>
      </c>
      <c r="D24" s="3" t="n">
        <v>5.42</v>
      </c>
      <c r="E24" s="2" t="s">
        <v>75</v>
      </c>
    </row>
    <row r="25" customFormat="false" ht="53.7" hidden="false" customHeight="false" outlineLevel="0" collapsed="false">
      <c r="A25" s="2" t="s">
        <v>78</v>
      </c>
      <c r="B25" s="2" t="s">
        <v>79</v>
      </c>
      <c r="C25" s="2" t="s">
        <v>80</v>
      </c>
      <c r="D25" s="3" t="n">
        <v>30.45</v>
      </c>
      <c r="E25" s="2" t="s">
        <v>81</v>
      </c>
    </row>
    <row r="26" customFormat="false" ht="53.7" hidden="false" customHeight="false" outlineLevel="0" collapsed="false">
      <c r="A26" s="2" t="s">
        <v>82</v>
      </c>
      <c r="B26" s="2" t="s">
        <v>83</v>
      </c>
      <c r="C26" s="2" t="s">
        <v>84</v>
      </c>
      <c r="D26" s="3" t="n">
        <v>22.5</v>
      </c>
      <c r="E26" s="2" t="s">
        <v>85</v>
      </c>
    </row>
    <row r="27" customFormat="false" ht="27.75" hidden="false" customHeight="false" outlineLevel="0" collapsed="false">
      <c r="A27" s="2" t="s">
        <v>86</v>
      </c>
      <c r="B27" s="2" t="s">
        <v>87</v>
      </c>
      <c r="C27" s="2" t="s">
        <v>88</v>
      </c>
      <c r="D27" s="3" t="n">
        <v>8</v>
      </c>
      <c r="E27" s="2" t="s">
        <v>89</v>
      </c>
    </row>
    <row r="28" customFormat="false" ht="27.75" hidden="false" customHeight="false" outlineLevel="0" collapsed="false">
      <c r="A28" s="2" t="s">
        <v>86</v>
      </c>
      <c r="B28" s="2" t="s">
        <v>90</v>
      </c>
      <c r="C28" s="2" t="s">
        <v>91</v>
      </c>
      <c r="D28" s="3" t="n">
        <v>14.4</v>
      </c>
      <c r="E28" s="2" t="s">
        <v>89</v>
      </c>
    </row>
    <row r="29" customFormat="false" ht="53.7" hidden="false" customHeight="false" outlineLevel="0" collapsed="false">
      <c r="A29" s="2" t="s">
        <v>86</v>
      </c>
      <c r="B29" s="2" t="s">
        <v>92</v>
      </c>
      <c r="C29" s="2" t="s">
        <v>93</v>
      </c>
      <c r="D29" s="3" t="n">
        <v>15.3</v>
      </c>
      <c r="E29" s="2" t="s">
        <v>94</v>
      </c>
    </row>
    <row r="30" customFormat="false" ht="92.55" hidden="false" customHeight="false" outlineLevel="0" collapsed="false">
      <c r="A30" s="2" t="s">
        <v>95</v>
      </c>
      <c r="B30" s="2" t="s">
        <v>96</v>
      </c>
      <c r="C30" s="2" t="s">
        <v>97</v>
      </c>
      <c r="D30" s="3" t="n">
        <v>792</v>
      </c>
      <c r="E30" s="2" t="s">
        <v>98</v>
      </c>
    </row>
    <row r="31" customFormat="false" ht="40.7" hidden="false" customHeight="false" outlineLevel="0" collapsed="false">
      <c r="A31" s="2" t="s">
        <v>95</v>
      </c>
      <c r="B31" s="2" t="s">
        <v>99</v>
      </c>
      <c r="C31" s="2" t="s">
        <v>100</v>
      </c>
      <c r="D31" s="3" t="n">
        <v>71.96</v>
      </c>
      <c r="E31" s="2" t="s">
        <v>75</v>
      </c>
    </row>
    <row r="32" customFormat="false" ht="27.75" hidden="false" customHeight="false" outlineLevel="0" collapsed="false">
      <c r="A32" s="2" t="s">
        <v>95</v>
      </c>
      <c r="B32" s="2" t="s">
        <v>101</v>
      </c>
      <c r="C32" s="2" t="s">
        <v>102</v>
      </c>
      <c r="D32" s="3" t="n">
        <v>10.84</v>
      </c>
      <c r="E32" s="2" t="s">
        <v>75</v>
      </c>
    </row>
    <row r="33" customFormat="false" ht="40.7" hidden="false" customHeight="false" outlineLevel="0" collapsed="false">
      <c r="A33" s="2" t="s">
        <v>95</v>
      </c>
      <c r="B33" s="2" t="s">
        <v>103</v>
      </c>
      <c r="C33" s="2" t="s">
        <v>104</v>
      </c>
      <c r="D33" s="3" t="n">
        <v>6.6</v>
      </c>
      <c r="E33" s="2" t="s">
        <v>50</v>
      </c>
    </row>
    <row r="34" customFormat="false" ht="66.65" hidden="false" customHeight="false" outlineLevel="0" collapsed="false">
      <c r="A34" s="2" t="s">
        <v>105</v>
      </c>
      <c r="B34" s="2" t="s">
        <v>106</v>
      </c>
      <c r="C34" s="2" t="s">
        <v>107</v>
      </c>
      <c r="D34" s="3" t="n">
        <v>68.51</v>
      </c>
      <c r="E34" s="2" t="s">
        <v>108</v>
      </c>
    </row>
    <row r="35" customFormat="false" ht="66.65" hidden="false" customHeight="false" outlineLevel="0" collapsed="false">
      <c r="A35" s="2" t="s">
        <v>105</v>
      </c>
      <c r="B35" s="2" t="s">
        <v>109</v>
      </c>
      <c r="C35" s="2" t="s">
        <v>110</v>
      </c>
      <c r="D35" s="3" t="n">
        <v>111.89</v>
      </c>
      <c r="E35" s="2" t="s">
        <v>108</v>
      </c>
    </row>
    <row r="36" customFormat="false" ht="79.6" hidden="false" customHeight="false" outlineLevel="0" collapsed="false">
      <c r="A36" s="2" t="s">
        <v>105</v>
      </c>
      <c r="B36" s="2" t="s">
        <v>111</v>
      </c>
      <c r="C36" s="2" t="s">
        <v>112</v>
      </c>
      <c r="D36" s="3" t="n">
        <v>10.84</v>
      </c>
      <c r="E36" s="2" t="s">
        <v>108</v>
      </c>
    </row>
    <row r="37" customFormat="false" ht="40.7" hidden="false" customHeight="false" outlineLevel="0" collapsed="false">
      <c r="A37" s="2" t="s">
        <v>113</v>
      </c>
      <c r="B37" s="2" t="s">
        <v>114</v>
      </c>
      <c r="C37" s="2" t="s">
        <v>115</v>
      </c>
      <c r="D37" s="3" t="n">
        <v>18.4</v>
      </c>
      <c r="E37" s="2" t="s">
        <v>116</v>
      </c>
    </row>
    <row r="38" customFormat="false" ht="53.7" hidden="false" customHeight="false" outlineLevel="0" collapsed="false">
      <c r="A38" s="2" t="s">
        <v>113</v>
      </c>
      <c r="B38" s="2" t="s">
        <v>117</v>
      </c>
      <c r="C38" s="2" t="s">
        <v>118</v>
      </c>
      <c r="D38" s="3" t="n">
        <v>7.6</v>
      </c>
      <c r="E38" s="2" t="s">
        <v>116</v>
      </c>
    </row>
    <row r="39" customFormat="false" ht="66.65" hidden="false" customHeight="false" outlineLevel="0" collapsed="false">
      <c r="A39" s="2" t="s">
        <v>113</v>
      </c>
      <c r="B39" s="2" t="s">
        <v>119</v>
      </c>
      <c r="C39" s="2" t="s">
        <v>120</v>
      </c>
      <c r="D39" s="3" t="n">
        <v>16</v>
      </c>
      <c r="E39" s="2" t="s">
        <v>121</v>
      </c>
    </row>
    <row r="40" customFormat="false" ht="53.7" hidden="false" customHeight="false" outlineLevel="0" collapsed="false">
      <c r="A40" s="2" t="s">
        <v>122</v>
      </c>
      <c r="B40" s="2" t="s">
        <v>123</v>
      </c>
      <c r="C40" s="2" t="s">
        <v>124</v>
      </c>
      <c r="D40" s="3" t="n">
        <v>86.14</v>
      </c>
      <c r="E40" s="2" t="s">
        <v>125</v>
      </c>
    </row>
    <row r="41" customFormat="false" ht="79.6" hidden="false" customHeight="false" outlineLevel="0" collapsed="false">
      <c r="A41" s="2" t="s">
        <v>122</v>
      </c>
      <c r="B41" s="2" t="s">
        <v>126</v>
      </c>
      <c r="C41" s="2" t="s">
        <v>127</v>
      </c>
      <c r="D41" s="3" t="n">
        <v>12.21</v>
      </c>
      <c r="E41" s="2" t="s">
        <v>125</v>
      </c>
    </row>
    <row r="42" customFormat="false" ht="53.7" hidden="false" customHeight="false" outlineLevel="0" collapsed="false">
      <c r="A42" s="2" t="s">
        <v>122</v>
      </c>
      <c r="B42" s="2" t="s">
        <v>128</v>
      </c>
      <c r="C42" s="2" t="s">
        <v>129</v>
      </c>
      <c r="D42" s="3" t="n">
        <v>94.9</v>
      </c>
      <c r="E42" s="2" t="s">
        <v>130</v>
      </c>
    </row>
    <row r="43" customFormat="false" ht="40.7" hidden="false" customHeight="false" outlineLevel="0" collapsed="false">
      <c r="A43" s="2" t="s">
        <v>122</v>
      </c>
      <c r="B43" s="2" t="s">
        <v>131</v>
      </c>
      <c r="C43" s="2" t="s">
        <v>132</v>
      </c>
      <c r="D43" s="3" t="n">
        <v>1.1</v>
      </c>
      <c r="E43" s="2" t="s">
        <v>133</v>
      </c>
    </row>
    <row r="44" customFormat="false" ht="53.7" hidden="false" customHeight="false" outlineLevel="0" collapsed="false">
      <c r="A44" s="2" t="s">
        <v>122</v>
      </c>
      <c r="B44" s="2" t="s">
        <v>134</v>
      </c>
      <c r="C44" s="2" t="s">
        <v>135</v>
      </c>
      <c r="D44" s="3" t="n">
        <v>6</v>
      </c>
      <c r="E44" s="2" t="s">
        <v>136</v>
      </c>
    </row>
    <row r="45" customFormat="false" ht="53.7" hidden="false" customHeight="false" outlineLevel="0" collapsed="false">
      <c r="A45" s="2" t="s">
        <v>122</v>
      </c>
      <c r="B45" s="2" t="s">
        <v>137</v>
      </c>
      <c r="C45" s="2" t="s">
        <v>138</v>
      </c>
      <c r="D45" s="3" t="n">
        <v>24</v>
      </c>
      <c r="E45" s="2" t="s">
        <v>136</v>
      </c>
    </row>
    <row r="46" customFormat="false" ht="40.7" hidden="false" customHeight="false" outlineLevel="0" collapsed="false">
      <c r="A46" s="2" t="s">
        <v>122</v>
      </c>
      <c r="B46" s="2" t="s">
        <v>139</v>
      </c>
      <c r="C46" s="2" t="s">
        <v>140</v>
      </c>
      <c r="D46" s="3" t="n">
        <v>1.3</v>
      </c>
      <c r="E46" s="2" t="s">
        <v>141</v>
      </c>
    </row>
    <row r="47" customFormat="false" ht="53.7" hidden="false" customHeight="false" outlineLevel="0" collapsed="false">
      <c r="A47" s="2" t="s">
        <v>142</v>
      </c>
      <c r="B47" s="2" t="s">
        <v>143</v>
      </c>
      <c r="C47" s="2" t="s">
        <v>144</v>
      </c>
      <c r="D47" s="3" t="n">
        <v>38</v>
      </c>
      <c r="E47" s="2" t="s">
        <v>145</v>
      </c>
    </row>
    <row r="48" customFormat="false" ht="53.7" hidden="false" customHeight="false" outlineLevel="0" collapsed="false">
      <c r="A48" s="2" t="s">
        <v>142</v>
      </c>
      <c r="B48" s="2" t="s">
        <v>146</v>
      </c>
      <c r="C48" s="2" t="s">
        <v>147</v>
      </c>
      <c r="D48" s="3" t="n">
        <v>18</v>
      </c>
      <c r="E48" s="2" t="s">
        <v>148</v>
      </c>
    </row>
    <row r="49" customFormat="false" ht="53.7" hidden="false" customHeight="false" outlineLevel="0" collapsed="false">
      <c r="A49" s="2" t="s">
        <v>142</v>
      </c>
      <c r="B49" s="2" t="s">
        <v>149</v>
      </c>
      <c r="C49" s="2" t="s">
        <v>150</v>
      </c>
      <c r="D49" s="3" t="n">
        <v>38</v>
      </c>
      <c r="E49" s="2" t="s">
        <v>145</v>
      </c>
    </row>
    <row r="50" customFormat="false" ht="53.7" hidden="false" customHeight="false" outlineLevel="0" collapsed="false">
      <c r="A50" s="2" t="s">
        <v>142</v>
      </c>
      <c r="B50" s="2" t="s">
        <v>151</v>
      </c>
      <c r="C50" s="2" t="s">
        <v>152</v>
      </c>
      <c r="D50" s="3" t="n">
        <v>20</v>
      </c>
      <c r="E50" s="2" t="s">
        <v>153</v>
      </c>
    </row>
    <row r="51" customFormat="false" ht="79.6" hidden="false" customHeight="false" outlineLevel="0" collapsed="false">
      <c r="A51" s="2" t="s">
        <v>142</v>
      </c>
      <c r="B51" s="2" t="s">
        <v>154</v>
      </c>
      <c r="C51" s="2" t="s">
        <v>155</v>
      </c>
      <c r="D51" s="3" t="n">
        <v>22.5</v>
      </c>
      <c r="E51" s="2" t="s">
        <v>156</v>
      </c>
    </row>
    <row r="52" customFormat="false" ht="40.7" hidden="false" customHeight="false" outlineLevel="0" collapsed="false">
      <c r="A52" s="2" t="s">
        <v>142</v>
      </c>
      <c r="B52" s="2" t="s">
        <v>157</v>
      </c>
      <c r="C52" s="2" t="s">
        <v>158</v>
      </c>
      <c r="D52" s="3" t="n">
        <v>2</v>
      </c>
      <c r="E52" s="2" t="s">
        <v>153</v>
      </c>
    </row>
    <row r="53" customFormat="false" ht="53.7" hidden="false" customHeight="false" outlineLevel="0" collapsed="false">
      <c r="A53" s="2" t="s">
        <v>142</v>
      </c>
      <c r="B53" s="2" t="s">
        <v>159</v>
      </c>
      <c r="C53" s="2" t="s">
        <v>160</v>
      </c>
      <c r="D53" s="3" t="n">
        <v>30</v>
      </c>
      <c r="E53" s="2" t="s">
        <v>161</v>
      </c>
    </row>
    <row r="54" customFormat="false" ht="66.65" hidden="false" customHeight="false" outlineLevel="0" collapsed="false">
      <c r="A54" s="2" t="s">
        <v>142</v>
      </c>
      <c r="B54" s="2" t="s">
        <v>162</v>
      </c>
      <c r="C54" s="2" t="s">
        <v>163</v>
      </c>
      <c r="D54" s="3" t="n">
        <v>2.85</v>
      </c>
      <c r="E54" s="2" t="s">
        <v>164</v>
      </c>
    </row>
    <row r="55" customFormat="false" ht="53.7" hidden="false" customHeight="false" outlineLevel="0" collapsed="false">
      <c r="A55" s="2" t="s">
        <v>142</v>
      </c>
      <c r="B55" s="2" t="s">
        <v>165</v>
      </c>
      <c r="C55" s="2" t="s">
        <v>166</v>
      </c>
      <c r="D55" s="3" t="n">
        <v>1.48</v>
      </c>
      <c r="E55" s="2" t="s">
        <v>145</v>
      </c>
    </row>
    <row r="56" customFormat="false" ht="53.7" hidden="false" customHeight="false" outlineLevel="0" collapsed="false">
      <c r="A56" s="2" t="s">
        <v>167</v>
      </c>
      <c r="B56" s="2" t="s">
        <v>168</v>
      </c>
      <c r="C56" s="2" t="s">
        <v>169</v>
      </c>
      <c r="D56" s="3" t="n">
        <v>10.5</v>
      </c>
      <c r="E56" s="2" t="s">
        <v>170</v>
      </c>
    </row>
    <row r="57" customFormat="false" ht="40.7" hidden="false" customHeight="false" outlineLevel="0" collapsed="false">
      <c r="A57" s="2" t="s">
        <v>167</v>
      </c>
      <c r="B57" s="2" t="s">
        <v>171</v>
      </c>
      <c r="C57" s="2" t="s">
        <v>172</v>
      </c>
      <c r="D57" s="3" t="n">
        <v>0.45</v>
      </c>
      <c r="E57" s="2" t="s">
        <v>170</v>
      </c>
    </row>
    <row r="58" customFormat="false" ht="40.7" hidden="false" customHeight="false" outlineLevel="0" collapsed="false">
      <c r="A58" s="2" t="s">
        <v>167</v>
      </c>
      <c r="B58" s="2" t="s">
        <v>173</v>
      </c>
      <c r="C58" s="2" t="s">
        <v>174</v>
      </c>
      <c r="D58" s="3" t="n">
        <v>0.21</v>
      </c>
      <c r="E58" s="2" t="s">
        <v>170</v>
      </c>
    </row>
    <row r="59" customFormat="false" ht="53.7" hidden="false" customHeight="false" outlineLevel="0" collapsed="false">
      <c r="A59" s="2" t="s">
        <v>167</v>
      </c>
      <c r="B59" s="2" t="s">
        <v>175</v>
      </c>
      <c r="C59" s="2" t="s">
        <v>176</v>
      </c>
      <c r="D59" s="3" t="n">
        <v>4</v>
      </c>
      <c r="E59" s="2" t="s">
        <v>170</v>
      </c>
    </row>
    <row r="60" customFormat="false" ht="66.65" hidden="false" customHeight="false" outlineLevel="0" collapsed="false">
      <c r="A60" s="2" t="s">
        <v>167</v>
      </c>
      <c r="B60" s="2" t="s">
        <v>177</v>
      </c>
      <c r="C60" s="2" t="s">
        <v>178</v>
      </c>
      <c r="D60" s="3" t="n">
        <v>30</v>
      </c>
      <c r="E60" s="2" t="s">
        <v>170</v>
      </c>
    </row>
    <row r="61" customFormat="false" ht="40.7" hidden="false" customHeight="false" outlineLevel="0" collapsed="false">
      <c r="A61" s="2" t="s">
        <v>179</v>
      </c>
      <c r="B61" s="2" t="s">
        <v>180</v>
      </c>
      <c r="C61" s="2" t="s">
        <v>181</v>
      </c>
      <c r="D61" s="3" t="n">
        <v>15</v>
      </c>
      <c r="E61" s="2" t="s">
        <v>182</v>
      </c>
    </row>
    <row r="62" customFormat="false" ht="53.7" hidden="false" customHeight="false" outlineLevel="0" collapsed="false">
      <c r="A62" s="2" t="s">
        <v>179</v>
      </c>
      <c r="B62" s="2" t="s">
        <v>183</v>
      </c>
      <c r="C62" s="2" t="s">
        <v>184</v>
      </c>
      <c r="D62" s="3" t="n">
        <v>1.5</v>
      </c>
      <c r="E62" s="2" t="s">
        <v>164</v>
      </c>
    </row>
    <row r="63" customFormat="false" ht="66.65" hidden="false" customHeight="false" outlineLevel="0" collapsed="false">
      <c r="A63" s="2" t="s">
        <v>185</v>
      </c>
      <c r="B63" s="2" t="s">
        <v>186</v>
      </c>
      <c r="C63" s="2" t="s">
        <v>187</v>
      </c>
      <c r="D63" s="3" t="n">
        <v>12</v>
      </c>
      <c r="E63" s="2" t="s">
        <v>188</v>
      </c>
    </row>
    <row r="64" customFormat="false" ht="40.7" hidden="false" customHeight="false" outlineLevel="0" collapsed="false">
      <c r="A64" s="2" t="s">
        <v>189</v>
      </c>
      <c r="B64" s="2" t="s">
        <v>190</v>
      </c>
      <c r="C64" s="2" t="s">
        <v>191</v>
      </c>
      <c r="D64" s="3" t="n">
        <v>3500</v>
      </c>
      <c r="E64" s="2" t="s">
        <v>192</v>
      </c>
    </row>
    <row r="65" customFormat="false" ht="27.75" hidden="false" customHeight="false" outlineLevel="0" collapsed="false">
      <c r="A65" s="2" t="s">
        <v>189</v>
      </c>
      <c r="B65" s="2" t="s">
        <v>193</v>
      </c>
      <c r="C65" s="2" t="s">
        <v>194</v>
      </c>
      <c r="D65" s="3" t="n">
        <v>1750</v>
      </c>
      <c r="E65" s="2" t="s">
        <v>192</v>
      </c>
    </row>
    <row r="66" customFormat="false" ht="40.7" hidden="false" customHeight="false" outlineLevel="0" collapsed="false">
      <c r="A66" s="2" t="s">
        <v>189</v>
      </c>
      <c r="B66" s="2" t="s">
        <v>195</v>
      </c>
      <c r="C66" s="2" t="s">
        <v>196</v>
      </c>
      <c r="D66" s="3" t="n">
        <v>200</v>
      </c>
      <c r="E66" s="2" t="s">
        <v>192</v>
      </c>
    </row>
    <row r="67" customFormat="false" ht="53.7" hidden="false" customHeight="false" outlineLevel="0" collapsed="false">
      <c r="A67" s="2" t="s">
        <v>197</v>
      </c>
      <c r="B67" s="2" t="s">
        <v>198</v>
      </c>
      <c r="C67" s="2" t="s">
        <v>199</v>
      </c>
      <c r="D67" s="3" t="n">
        <v>35.27</v>
      </c>
      <c r="E67" s="2" t="s">
        <v>192</v>
      </c>
    </row>
    <row r="68" customFormat="false" ht="15" hidden="false" customHeight="false" outlineLevel="0" collapsed="false">
      <c r="A68" s="4" t="s">
        <v>200</v>
      </c>
      <c r="B68" s="4"/>
      <c r="C68" s="4"/>
      <c r="D68" s="5" t="n">
        <f aca="false">SUM(D2:D67)</f>
        <v>20986.76</v>
      </c>
      <c r="E68" s="4"/>
    </row>
  </sheetData>
  <dataValidations count="1">
    <dataValidation allowBlank="false" errorStyle="stop" operator="between" showDropDown="false" showErrorMessage="false" showInputMessage="false" sqref="A2:A67" type="list">
      <formula1>"compute,llm,embedding,gateway,load_balancer,authn,authz,database,vector_db,object_storage,cache_queue,sandbox,connectors,secrets_kms,backup_dr,monitoring,governance,network,cicd,ops_labor,licenses,contingency,other"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customHeight="false"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55"/>
    <col collapsed="false" customWidth="true" hidden="false" outlineLevel="0" max="4" min="4" style="0" width="14"/>
    <col collapsed="false" customWidth="true" hidden="false" outlineLevel="0" max="5" min="5" style="0" width="34"/>
  </cols>
  <sheetData>
    <row r="1" customFormat="false" ht="15" hidden="false" customHeight="false" outlineLevel="0" collapsed="false">
      <c r="A1" s="1" t="s">
        <v>201</v>
      </c>
      <c r="B1" s="1" t="s">
        <v>202</v>
      </c>
      <c r="C1" s="1" t="s">
        <v>203</v>
      </c>
      <c r="D1" s="1" t="s">
        <v>204</v>
      </c>
      <c r="E1" s="1" t="s">
        <v>205</v>
      </c>
    </row>
    <row r="2" customFormat="false" ht="40.7" hidden="false" customHeight="false" outlineLevel="0" collapsed="false">
      <c r="A2" s="2" t="s">
        <v>206</v>
      </c>
      <c r="B2" s="2" t="s">
        <v>207</v>
      </c>
      <c r="C2" s="2" t="s">
        <v>208</v>
      </c>
      <c r="D2" s="2" t="s">
        <v>209</v>
      </c>
      <c r="E2" s="2" t="s">
        <v>210</v>
      </c>
    </row>
    <row r="3" customFormat="false" ht="27.75" hidden="false" customHeight="false" outlineLevel="0" collapsed="false">
      <c r="A3" s="2" t="s">
        <v>211</v>
      </c>
      <c r="B3" s="2" t="s">
        <v>212</v>
      </c>
      <c r="C3" s="2" t="s">
        <v>213</v>
      </c>
      <c r="D3" s="2" t="s">
        <v>209</v>
      </c>
      <c r="E3" s="2" t="s">
        <v>210</v>
      </c>
    </row>
    <row r="4" customFormat="false" ht="27.75" hidden="false" customHeight="false" outlineLevel="0" collapsed="false">
      <c r="A4" s="2" t="s">
        <v>214</v>
      </c>
      <c r="B4" s="2" t="s">
        <v>215</v>
      </c>
      <c r="C4" s="2" t="s">
        <v>216</v>
      </c>
      <c r="D4" s="2" t="s">
        <v>209</v>
      </c>
      <c r="E4" s="2" t="s">
        <v>210</v>
      </c>
    </row>
    <row r="5" customFormat="false" ht="27.75" hidden="false" customHeight="false" outlineLevel="0" collapsed="false">
      <c r="A5" s="2" t="s">
        <v>217</v>
      </c>
      <c r="B5" s="2" t="s">
        <v>218</v>
      </c>
      <c r="C5" s="2" t="s">
        <v>219</v>
      </c>
      <c r="D5" s="2" t="s">
        <v>209</v>
      </c>
      <c r="E5" s="2" t="s">
        <v>210</v>
      </c>
    </row>
    <row r="6" customFormat="false" ht="40.7" hidden="false" customHeight="false" outlineLevel="0" collapsed="false">
      <c r="A6" s="2" t="s">
        <v>220</v>
      </c>
      <c r="B6" s="2" t="s">
        <v>221</v>
      </c>
      <c r="C6" s="2" t="s">
        <v>222</v>
      </c>
      <c r="D6" s="2" t="s">
        <v>209</v>
      </c>
      <c r="E6" s="2" t="s">
        <v>210</v>
      </c>
    </row>
    <row r="7" customFormat="false" ht="40.7" hidden="false" customHeight="false" outlineLevel="0" collapsed="false">
      <c r="A7" s="2" t="s">
        <v>223</v>
      </c>
      <c r="B7" s="2" t="s">
        <v>224</v>
      </c>
      <c r="C7" s="2" t="s">
        <v>225</v>
      </c>
      <c r="D7" s="2" t="s">
        <v>209</v>
      </c>
      <c r="E7" s="2" t="s">
        <v>210</v>
      </c>
    </row>
    <row r="8" customFormat="false" ht="15" hidden="false" customHeight="false" outlineLevel="0" collapsed="false">
      <c r="A8" s="2" t="s">
        <v>226</v>
      </c>
      <c r="B8" s="2" t="s">
        <v>227</v>
      </c>
      <c r="C8" s="2" t="s">
        <v>228</v>
      </c>
      <c r="D8" s="2" t="s">
        <v>209</v>
      </c>
      <c r="E8" s="2" t="s">
        <v>210</v>
      </c>
    </row>
    <row r="9" customFormat="false" ht="40.7" hidden="false" customHeight="false" outlineLevel="0" collapsed="false">
      <c r="A9" s="2" t="s">
        <v>229</v>
      </c>
      <c r="B9" s="2" t="s">
        <v>230</v>
      </c>
      <c r="C9" s="2" t="s">
        <v>231</v>
      </c>
      <c r="D9" s="2" t="s">
        <v>209</v>
      </c>
      <c r="E9" s="2" t="s">
        <v>210</v>
      </c>
    </row>
    <row r="10" customFormat="false" ht="27.75" hidden="false" customHeight="false" outlineLevel="0" collapsed="false">
      <c r="A10" s="2" t="s">
        <v>232</v>
      </c>
      <c r="B10" s="2" t="s">
        <v>233</v>
      </c>
      <c r="C10" s="2" t="s">
        <v>234</v>
      </c>
      <c r="D10" s="2" t="s">
        <v>209</v>
      </c>
      <c r="E10" s="2" t="s">
        <v>210</v>
      </c>
    </row>
    <row r="11" customFormat="false" ht="53.7" hidden="false" customHeight="false" outlineLevel="0" collapsed="false">
      <c r="A11" s="2" t="s">
        <v>235</v>
      </c>
      <c r="B11" s="2" t="s">
        <v>236</v>
      </c>
      <c r="C11" s="2" t="s">
        <v>237</v>
      </c>
      <c r="D11" s="2" t="s">
        <v>209</v>
      </c>
      <c r="E11" s="2" t="s">
        <v>210</v>
      </c>
    </row>
    <row r="12" customFormat="false" ht="15" hidden="false" customHeight="false" outlineLevel="0" collapsed="false">
      <c r="A12" s="2" t="s">
        <v>238</v>
      </c>
      <c r="B12" s="2" t="s">
        <v>239</v>
      </c>
      <c r="C12" s="2" t="s">
        <v>240</v>
      </c>
      <c r="D12" s="2" t="s">
        <v>209</v>
      </c>
      <c r="E12" s="2" t="s">
        <v>210</v>
      </c>
    </row>
    <row r="13" customFormat="false" ht="53.7" hidden="false" customHeight="false" outlineLevel="0" collapsed="false">
      <c r="A13" s="2" t="s">
        <v>241</v>
      </c>
      <c r="B13" s="2" t="s">
        <v>242</v>
      </c>
      <c r="C13" s="2" t="s">
        <v>243</v>
      </c>
      <c r="D13" s="2" t="s">
        <v>209</v>
      </c>
      <c r="E13" s="2" t="s">
        <v>210</v>
      </c>
    </row>
    <row r="14" customFormat="false" ht="27.75" hidden="false" customHeight="false" outlineLevel="0" collapsed="false">
      <c r="A14" s="2" t="s">
        <v>244</v>
      </c>
      <c r="B14" s="2" t="s">
        <v>245</v>
      </c>
      <c r="C14" s="2" t="s">
        <v>246</v>
      </c>
      <c r="D14" s="2" t="s">
        <v>209</v>
      </c>
      <c r="E14" s="2" t="s">
        <v>210</v>
      </c>
    </row>
    <row r="15" customFormat="false" ht="15" hidden="false" customHeight="false" outlineLevel="0" collapsed="false">
      <c r="A15" s="2" t="s">
        <v>247</v>
      </c>
      <c r="B15" s="2" t="s">
        <v>248</v>
      </c>
      <c r="C15" s="2" t="s">
        <v>249</v>
      </c>
      <c r="D15" s="2" t="s">
        <v>209</v>
      </c>
      <c r="E15" s="2" t="s">
        <v>210</v>
      </c>
    </row>
    <row r="16" customFormat="false" ht="27.75" hidden="false" customHeight="false" outlineLevel="0" collapsed="false">
      <c r="A16" s="2" t="s">
        <v>250</v>
      </c>
      <c r="B16" s="2" t="s">
        <v>251</v>
      </c>
      <c r="C16" s="2" t="s">
        <v>252</v>
      </c>
      <c r="D16" s="2" t="s">
        <v>209</v>
      </c>
      <c r="E16" s="2" t="s">
        <v>210</v>
      </c>
    </row>
    <row r="17" customFormat="false" ht="15" hidden="false" customHeight="false" outlineLevel="0" collapsed="false">
      <c r="A17" s="2" t="s">
        <v>253</v>
      </c>
      <c r="B17" s="2" t="s">
        <v>254</v>
      </c>
      <c r="C17" s="2" t="s">
        <v>255</v>
      </c>
      <c r="D17" s="2" t="s">
        <v>209</v>
      </c>
      <c r="E17" s="2" t="s">
        <v>210</v>
      </c>
    </row>
    <row r="18" customFormat="false" ht="27.75" hidden="false" customHeight="false" outlineLevel="0" collapsed="false">
      <c r="A18" s="2" t="s">
        <v>256</v>
      </c>
      <c r="B18" s="2" t="s">
        <v>257</v>
      </c>
      <c r="C18" s="2" t="s">
        <v>258</v>
      </c>
      <c r="D18" s="2" t="s">
        <v>209</v>
      </c>
      <c r="E18" s="2" t="s">
        <v>210</v>
      </c>
    </row>
    <row r="19" customFormat="false" ht="15" hidden="false" customHeight="false" outlineLevel="0" collapsed="false">
      <c r="A19" s="2" t="s">
        <v>259</v>
      </c>
      <c r="B19" s="2" t="s">
        <v>260</v>
      </c>
      <c r="C19" s="2" t="s">
        <v>261</v>
      </c>
      <c r="D19" s="2" t="s">
        <v>209</v>
      </c>
      <c r="E19" s="2" t="s">
        <v>210</v>
      </c>
    </row>
    <row r="20" customFormat="false" ht="27.75" hidden="false" customHeight="false" outlineLevel="0" collapsed="false">
      <c r="A20" s="2" t="s">
        <v>262</v>
      </c>
      <c r="B20" s="2" t="s">
        <v>263</v>
      </c>
      <c r="C20" s="2" t="s">
        <v>264</v>
      </c>
      <c r="D20" s="2" t="s">
        <v>209</v>
      </c>
      <c r="E20" s="2" t="s">
        <v>210</v>
      </c>
    </row>
    <row r="21" customFormat="false" ht="15" hidden="false" customHeight="false" outlineLevel="0" collapsed="false">
      <c r="A21" s="2" t="s">
        <v>265</v>
      </c>
      <c r="B21" s="2" t="s">
        <v>266</v>
      </c>
      <c r="C21" s="2" t="s">
        <v>267</v>
      </c>
      <c r="D21" s="2" t="s">
        <v>209</v>
      </c>
      <c r="E21" s="2" t="s">
        <v>210</v>
      </c>
    </row>
    <row r="22" customFormat="false" ht="15" hidden="false" customHeight="false" outlineLevel="0" collapsed="false">
      <c r="A22" s="2" t="s">
        <v>268</v>
      </c>
      <c r="B22" s="2" t="s">
        <v>269</v>
      </c>
      <c r="C22" s="2" t="s">
        <v>270</v>
      </c>
      <c r="D22" s="2" t="s">
        <v>209</v>
      </c>
      <c r="E22" s="2" t="s">
        <v>210</v>
      </c>
    </row>
    <row r="23" customFormat="false" ht="15" hidden="false" customHeight="false" outlineLevel="0" collapsed="false">
      <c r="A23" s="2" t="s">
        <v>271</v>
      </c>
      <c r="B23" s="2" t="s">
        <v>272</v>
      </c>
      <c r="C23" s="2" t="s">
        <v>270</v>
      </c>
      <c r="D23" s="2" t="s">
        <v>209</v>
      </c>
      <c r="E23" s="2" t="s">
        <v>210</v>
      </c>
    </row>
    <row r="24" customFormat="false" ht="15" hidden="false" customHeight="false" outlineLevel="0" collapsed="false">
      <c r="A24" s="2" t="s">
        <v>273</v>
      </c>
      <c r="B24" s="2" t="s">
        <v>274</v>
      </c>
      <c r="C24" s="2" t="s">
        <v>270</v>
      </c>
      <c r="D24" s="2" t="s">
        <v>209</v>
      </c>
      <c r="E24" s="2" t="s">
        <v>210</v>
      </c>
    </row>
    <row r="25" customFormat="false" ht="15" hidden="false" customHeight="false" outlineLevel="0" collapsed="false">
      <c r="A25" s="2" t="s">
        <v>275</v>
      </c>
      <c r="B25" s="2" t="s">
        <v>276</v>
      </c>
      <c r="C25" s="2" t="s">
        <v>270</v>
      </c>
      <c r="D25" s="2" t="s">
        <v>209</v>
      </c>
      <c r="E25" s="2" t="s">
        <v>210</v>
      </c>
    </row>
    <row r="26" customFormat="false" ht="15" hidden="false" customHeight="false" outlineLevel="0" collapsed="false">
      <c r="A26" s="2" t="s">
        <v>277</v>
      </c>
      <c r="B26" s="2" t="s">
        <v>278</v>
      </c>
      <c r="C26" s="2" t="s">
        <v>270</v>
      </c>
      <c r="D26" s="2" t="s">
        <v>209</v>
      </c>
      <c r="E26" s="2" t="s">
        <v>210</v>
      </c>
    </row>
    <row r="27" customFormat="false" ht="15" hidden="false" customHeight="false" outlineLevel="0" collapsed="false">
      <c r="A27" s="2" t="s">
        <v>279</v>
      </c>
      <c r="B27" s="2" t="s">
        <v>280</v>
      </c>
      <c r="C27" s="2" t="s">
        <v>208</v>
      </c>
      <c r="D27" s="2" t="s">
        <v>209</v>
      </c>
      <c r="E27" s="2" t="s">
        <v>210</v>
      </c>
    </row>
    <row r="28" customFormat="false" ht="27.75" hidden="false" customHeight="false" outlineLevel="0" collapsed="false">
      <c r="A28" s="2" t="s">
        <v>281</v>
      </c>
      <c r="B28" s="2" t="s">
        <v>282</v>
      </c>
      <c r="C28" s="2" t="s">
        <v>283</v>
      </c>
      <c r="D28" s="2" t="s">
        <v>209</v>
      </c>
      <c r="E28" s="2" t="s">
        <v>210</v>
      </c>
    </row>
    <row r="29" customFormat="false" ht="27.75" hidden="false" customHeight="false" outlineLevel="0" collapsed="false">
      <c r="A29" s="2" t="s">
        <v>284</v>
      </c>
      <c r="B29" s="2" t="s">
        <v>285</v>
      </c>
      <c r="C29" s="2" t="s">
        <v>286</v>
      </c>
      <c r="D29" s="2" t="s">
        <v>209</v>
      </c>
      <c r="E29" s="2" t="s">
        <v>210</v>
      </c>
    </row>
    <row r="30" customFormat="false" ht="27.75" hidden="false" customHeight="false" outlineLevel="0" collapsed="false">
      <c r="A30" s="2" t="s">
        <v>287</v>
      </c>
      <c r="B30" s="2" t="s">
        <v>288</v>
      </c>
      <c r="C30" s="2" t="s">
        <v>289</v>
      </c>
      <c r="D30" s="2" t="s">
        <v>209</v>
      </c>
      <c r="E30" s="2" t="s">
        <v>210</v>
      </c>
    </row>
    <row r="31" customFormat="false" ht="27.75" hidden="false" customHeight="false" outlineLevel="0" collapsed="false">
      <c r="A31" s="2" t="s">
        <v>290</v>
      </c>
      <c r="B31" s="2" t="s">
        <v>291</v>
      </c>
      <c r="C31" s="2" t="s">
        <v>292</v>
      </c>
      <c r="D31" s="2" t="s">
        <v>209</v>
      </c>
      <c r="E31" s="2" t="s">
        <v>210</v>
      </c>
    </row>
    <row r="32" customFormat="false" ht="27.75" hidden="false" customHeight="false" outlineLevel="0" collapsed="false">
      <c r="A32" s="2" t="s">
        <v>293</v>
      </c>
      <c r="B32" s="2" t="s">
        <v>294</v>
      </c>
      <c r="C32" s="2" t="s">
        <v>295</v>
      </c>
      <c r="D32" s="2" t="s">
        <v>209</v>
      </c>
      <c r="E32" s="2" t="s">
        <v>210</v>
      </c>
    </row>
    <row r="33" customFormat="false" ht="15" hidden="false" customHeight="false" outlineLevel="0" collapsed="false">
      <c r="A33" s="2" t="s">
        <v>296</v>
      </c>
      <c r="B33" s="2" t="s">
        <v>297</v>
      </c>
      <c r="C33" s="2" t="s">
        <v>225</v>
      </c>
      <c r="D33" s="2" t="s">
        <v>209</v>
      </c>
      <c r="E33" s="2" t="s">
        <v>210</v>
      </c>
    </row>
    <row r="34" customFormat="false" ht="15" hidden="false" customHeight="false" outlineLevel="0" collapsed="false">
      <c r="A34" s="2" t="s">
        <v>298</v>
      </c>
      <c r="B34" s="2" t="s">
        <v>299</v>
      </c>
      <c r="C34" s="2" t="s">
        <v>300</v>
      </c>
      <c r="D34" s="2" t="s">
        <v>209</v>
      </c>
      <c r="E34" s="2" t="s">
        <v>210</v>
      </c>
    </row>
    <row r="35" customFormat="false" ht="15" hidden="false" customHeight="false" outlineLevel="0" collapsed="false">
      <c r="A35" s="2" t="s">
        <v>301</v>
      </c>
      <c r="B35" s="2" t="s">
        <v>302</v>
      </c>
      <c r="C35" s="2" t="s">
        <v>270</v>
      </c>
      <c r="D35" s="2" t="s">
        <v>209</v>
      </c>
      <c r="E35" s="2" t="s">
        <v>210</v>
      </c>
    </row>
    <row r="36" customFormat="false" ht="15" hidden="false" customHeight="false" outlineLevel="0" collapsed="false">
      <c r="A36" s="2" t="s">
        <v>303</v>
      </c>
      <c r="B36" s="2" t="s">
        <v>304</v>
      </c>
      <c r="C36" s="2" t="s">
        <v>305</v>
      </c>
      <c r="D36" s="2" t="s">
        <v>209</v>
      </c>
      <c r="E36" s="2" t="s">
        <v>210</v>
      </c>
    </row>
    <row r="37" customFormat="false" ht="15" hidden="false" customHeight="false" outlineLevel="0" collapsed="false">
      <c r="A37" s="2" t="s">
        <v>306</v>
      </c>
      <c r="B37" s="2" t="s">
        <v>307</v>
      </c>
      <c r="C37" s="2" t="s">
        <v>270</v>
      </c>
      <c r="D37" s="2" t="s">
        <v>209</v>
      </c>
      <c r="E37" s="2" t="s">
        <v>210</v>
      </c>
    </row>
    <row r="38" customFormat="false" ht="27.75" hidden="false" customHeight="false" outlineLevel="0" collapsed="false">
      <c r="A38" s="2" t="s">
        <v>308</v>
      </c>
      <c r="B38" s="2" t="s">
        <v>309</v>
      </c>
      <c r="C38" s="2" t="s">
        <v>310</v>
      </c>
      <c r="D38" s="2" t="s">
        <v>209</v>
      </c>
      <c r="E38" s="2" t="s">
        <v>210</v>
      </c>
    </row>
    <row r="39" customFormat="false" ht="15" hidden="false" customHeight="false" outlineLevel="0" collapsed="false">
      <c r="A39" s="2" t="s">
        <v>311</v>
      </c>
      <c r="B39" s="2" t="s">
        <v>312</v>
      </c>
      <c r="C39" s="2" t="s">
        <v>231</v>
      </c>
      <c r="D39" s="2" t="s">
        <v>209</v>
      </c>
      <c r="E39" s="2" t="s">
        <v>210</v>
      </c>
    </row>
    <row r="40" customFormat="false" ht="27.75" hidden="false" customHeight="false" outlineLevel="0" collapsed="false">
      <c r="A40" s="2" t="s">
        <v>313</v>
      </c>
      <c r="B40" s="2" t="s">
        <v>312</v>
      </c>
      <c r="C40" s="2" t="s">
        <v>314</v>
      </c>
      <c r="D40" s="2" t="s">
        <v>209</v>
      </c>
      <c r="E40" s="2" t="s">
        <v>210</v>
      </c>
    </row>
    <row r="41" customFormat="false" ht="27.75" hidden="false" customHeight="false" outlineLevel="0" collapsed="false">
      <c r="A41" s="2" t="s">
        <v>315</v>
      </c>
      <c r="B41" s="2" t="s">
        <v>312</v>
      </c>
      <c r="C41" s="2" t="s">
        <v>316</v>
      </c>
      <c r="D41" s="2" t="s">
        <v>209</v>
      </c>
      <c r="E41" s="2" t="s">
        <v>210</v>
      </c>
    </row>
    <row r="42" customFormat="false" ht="15" hidden="false" customHeight="false" outlineLevel="0" collapsed="false">
      <c r="A42" s="2" t="s">
        <v>317</v>
      </c>
      <c r="B42" s="2" t="s">
        <v>312</v>
      </c>
      <c r="C42" s="2" t="s">
        <v>237</v>
      </c>
      <c r="D42" s="2" t="s">
        <v>209</v>
      </c>
      <c r="E42" s="2" t="s">
        <v>210</v>
      </c>
    </row>
    <row r="43" customFormat="false" ht="15" hidden="false" customHeight="false" outlineLevel="0" collapsed="false">
      <c r="A43" s="2" t="s">
        <v>318</v>
      </c>
      <c r="B43" s="2" t="s">
        <v>312</v>
      </c>
      <c r="C43" s="2" t="s">
        <v>319</v>
      </c>
      <c r="D43" s="2" t="s">
        <v>209</v>
      </c>
      <c r="E43" s="2" t="s">
        <v>210</v>
      </c>
    </row>
    <row r="44" customFormat="false" ht="15" hidden="false" customHeight="false" outlineLevel="0" collapsed="false">
      <c r="A44" s="2" t="s">
        <v>320</v>
      </c>
      <c r="B44" s="2" t="s">
        <v>312</v>
      </c>
      <c r="C44" s="2" t="s">
        <v>321</v>
      </c>
      <c r="D44" s="2" t="s">
        <v>209</v>
      </c>
      <c r="E44" s="2" t="s">
        <v>210</v>
      </c>
    </row>
    <row r="45" customFormat="false" ht="15" hidden="false" customHeight="false" outlineLevel="0" collapsed="false">
      <c r="A45" s="2" t="s">
        <v>322</v>
      </c>
      <c r="B45" s="2" t="s">
        <v>312</v>
      </c>
      <c r="C45" s="2" t="s">
        <v>323</v>
      </c>
      <c r="D45" s="2" t="s">
        <v>209</v>
      </c>
      <c r="E45" s="2" t="s">
        <v>210</v>
      </c>
    </row>
    <row r="46" customFormat="false" ht="27.75" hidden="false" customHeight="false" outlineLevel="0" collapsed="false">
      <c r="A46" s="2" t="s">
        <v>324</v>
      </c>
      <c r="B46" s="2" t="s">
        <v>312</v>
      </c>
      <c r="C46" s="2" t="s">
        <v>325</v>
      </c>
      <c r="D46" s="2" t="s">
        <v>209</v>
      </c>
      <c r="E46" s="2" t="s">
        <v>210</v>
      </c>
    </row>
    <row r="47" customFormat="false" ht="27.75" hidden="false" customHeight="false" outlineLevel="0" collapsed="false">
      <c r="A47" s="2" t="s">
        <v>326</v>
      </c>
      <c r="B47" s="2" t="s">
        <v>312</v>
      </c>
      <c r="C47" s="2" t="s">
        <v>327</v>
      </c>
      <c r="D47" s="2" t="s">
        <v>209</v>
      </c>
      <c r="E47" s="2" t="s">
        <v>210</v>
      </c>
    </row>
    <row r="48" customFormat="false" ht="15" hidden="false" customHeight="false" outlineLevel="0" collapsed="false">
      <c r="A48" s="2" t="s">
        <v>328</v>
      </c>
      <c r="B48" s="2" t="s">
        <v>312</v>
      </c>
      <c r="C48" s="2" t="s">
        <v>208</v>
      </c>
      <c r="D48" s="2" t="s">
        <v>209</v>
      </c>
      <c r="E48" s="2" t="s">
        <v>210</v>
      </c>
    </row>
    <row r="49" customFormat="false" ht="27.75" hidden="false" customHeight="false" outlineLevel="0" collapsed="false">
      <c r="A49" s="2" t="s">
        <v>329</v>
      </c>
      <c r="B49" s="2" t="s">
        <v>312</v>
      </c>
      <c r="C49" s="2" t="s">
        <v>330</v>
      </c>
      <c r="D49" s="2" t="s">
        <v>209</v>
      </c>
      <c r="E49" s="2" t="s">
        <v>210</v>
      </c>
    </row>
    <row r="50" customFormat="false" ht="27.75" hidden="false" customHeight="false" outlineLevel="0" collapsed="false">
      <c r="A50" s="2" t="s">
        <v>331</v>
      </c>
      <c r="B50" s="2" t="s">
        <v>312</v>
      </c>
      <c r="C50" s="2" t="s">
        <v>332</v>
      </c>
      <c r="D50" s="2" t="s">
        <v>209</v>
      </c>
      <c r="E50" s="2" t="s">
        <v>210</v>
      </c>
    </row>
    <row r="51" customFormat="false" ht="15" hidden="false" customHeight="false" outlineLevel="0" collapsed="false">
      <c r="A51" s="2" t="s">
        <v>333</v>
      </c>
      <c r="B51" s="2" t="s">
        <v>312</v>
      </c>
      <c r="C51" s="2" t="s">
        <v>334</v>
      </c>
      <c r="D51" s="2" t="s">
        <v>209</v>
      </c>
      <c r="E51" s="2" t="s">
        <v>210</v>
      </c>
    </row>
    <row r="52" customFormat="false" ht="15" hidden="false" customHeight="false" outlineLevel="0" collapsed="false">
      <c r="A52" s="2" t="s">
        <v>335</v>
      </c>
      <c r="B52" s="2" t="s">
        <v>312</v>
      </c>
      <c r="C52" s="2" t="s">
        <v>336</v>
      </c>
      <c r="D52" s="2" t="s">
        <v>209</v>
      </c>
      <c r="E52" s="2" t="s">
        <v>210</v>
      </c>
    </row>
    <row r="53" customFormat="false" ht="27.75" hidden="false" customHeight="false" outlineLevel="0" collapsed="false">
      <c r="A53" s="2" t="s">
        <v>337</v>
      </c>
      <c r="B53" s="2" t="s">
        <v>312</v>
      </c>
      <c r="C53" s="2" t="s">
        <v>338</v>
      </c>
      <c r="D53" s="2" t="s">
        <v>209</v>
      </c>
      <c r="E53" s="2" t="s">
        <v>210</v>
      </c>
    </row>
    <row r="54" customFormat="false" ht="15" hidden="false" customHeight="false" outlineLevel="0" collapsed="false">
      <c r="A54" s="2" t="s">
        <v>339</v>
      </c>
      <c r="B54" s="2" t="s">
        <v>312</v>
      </c>
      <c r="C54" s="2" t="s">
        <v>340</v>
      </c>
      <c r="D54" s="2" t="s">
        <v>209</v>
      </c>
      <c r="E54" s="2" t="s">
        <v>210</v>
      </c>
    </row>
    <row r="55" customFormat="false" ht="15" hidden="false" customHeight="false" outlineLevel="0" collapsed="false">
      <c r="A55" s="2" t="s">
        <v>341</v>
      </c>
      <c r="B55" s="2" t="s">
        <v>312</v>
      </c>
      <c r="C55" s="2" t="s">
        <v>342</v>
      </c>
      <c r="D55" s="2" t="s">
        <v>209</v>
      </c>
      <c r="E55" s="2" t="s">
        <v>210</v>
      </c>
    </row>
    <row r="56" customFormat="false" ht="15" hidden="false" customHeight="false" outlineLevel="0" collapsed="false">
      <c r="A56" s="2" t="s">
        <v>343</v>
      </c>
      <c r="B56" s="2" t="s">
        <v>312</v>
      </c>
      <c r="C56" s="2" t="s">
        <v>270</v>
      </c>
      <c r="D56" s="2" t="s">
        <v>209</v>
      </c>
      <c r="E56" s="2" t="s">
        <v>210</v>
      </c>
    </row>
    <row r="57" customFormat="false" ht="27.75" hidden="false" customHeight="false" outlineLevel="0" collapsed="false">
      <c r="A57" s="2" t="s">
        <v>344</v>
      </c>
      <c r="B57" s="2" t="s">
        <v>312</v>
      </c>
      <c r="C57" s="2" t="s">
        <v>345</v>
      </c>
      <c r="D57" s="2" t="s">
        <v>209</v>
      </c>
      <c r="E57" s="2" t="s">
        <v>210</v>
      </c>
    </row>
    <row r="58" customFormat="false" ht="27.75" hidden="false" customHeight="false" outlineLevel="0" collapsed="false">
      <c r="A58" s="2" t="s">
        <v>346</v>
      </c>
      <c r="B58" s="2" t="s">
        <v>312</v>
      </c>
      <c r="C58" s="2" t="s">
        <v>347</v>
      </c>
      <c r="D58" s="2" t="s">
        <v>209</v>
      </c>
      <c r="E58" s="2" t="s">
        <v>210</v>
      </c>
    </row>
    <row r="59" customFormat="false" ht="27.75" hidden="false" customHeight="false" outlineLevel="0" collapsed="false">
      <c r="A59" s="2" t="s">
        <v>348</v>
      </c>
      <c r="B59" s="2" t="s">
        <v>312</v>
      </c>
      <c r="C59" s="2" t="s">
        <v>349</v>
      </c>
      <c r="D59" s="2" t="s">
        <v>209</v>
      </c>
      <c r="E59" s="2" t="s">
        <v>210</v>
      </c>
    </row>
    <row r="60" customFormat="false" ht="15" hidden="false" customHeight="false" outlineLevel="0" collapsed="false">
      <c r="A60" s="2" t="s">
        <v>350</v>
      </c>
      <c r="B60" s="2" t="s">
        <v>312</v>
      </c>
      <c r="C60" s="2" t="s">
        <v>351</v>
      </c>
      <c r="D60" s="2" t="s">
        <v>209</v>
      </c>
      <c r="E60" s="2" t="s">
        <v>210</v>
      </c>
    </row>
    <row r="61" customFormat="false" ht="15" hidden="false" customHeight="false" outlineLevel="0" collapsed="false">
      <c r="A61" s="2" t="s">
        <v>352</v>
      </c>
      <c r="B61" s="2" t="s">
        <v>312</v>
      </c>
      <c r="C61" s="2" t="s">
        <v>255</v>
      </c>
      <c r="D61" s="2" t="s">
        <v>209</v>
      </c>
      <c r="E61" s="2" t="s">
        <v>210</v>
      </c>
    </row>
    <row r="62" customFormat="false" ht="15" hidden="false" customHeight="false" outlineLevel="0" collapsed="false">
      <c r="A62" s="2" t="s">
        <v>353</v>
      </c>
      <c r="B62" s="2" t="s">
        <v>312</v>
      </c>
      <c r="C62" s="2" t="s">
        <v>354</v>
      </c>
      <c r="D62" s="2" t="s">
        <v>209</v>
      </c>
      <c r="E62" s="2" t="s">
        <v>210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2026-10-16T04:15:38Z</dcterms:created>
  <dc:creator>openpyxl</dc:creator>
  <dc:description/>
  <dc:language>en-US</dc:language>
  <cp:lastModifiedBy/>
  <dcterms:modified xsi:type="dcterms:W3CDTF">2026-10-16T04:15:38Z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